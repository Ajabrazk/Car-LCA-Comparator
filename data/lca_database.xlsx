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DERLL\Documents\MA1\Q2\"/>
    </mc:Choice>
  </mc:AlternateContent>
  <xr:revisionPtr revIDLastSave="0" documentId="13_ncr:1_{AA5058F9-8068-4137-9345-087CBD222796}" xr6:coauthVersionLast="47" xr6:coauthVersionMax="47" xr10:uidLastSave="{00000000-0000-0000-0000-000000000000}"/>
  <bookViews>
    <workbookView xWindow="-108" yWindow="-108" windowWidth="23256" windowHeight="13896" xr2:uid="{00000000-000D-0000-FFFF-FFFF00000000}"/>
  </bookViews>
  <sheets>
    <sheet name="Emission factor" sheetId="1" r:id="rId1"/>
    <sheet name="Car parameters" sheetId="2" r:id="rId2"/>
    <sheet name="Car parameters v2" sheetId="7" r:id="rId3"/>
    <sheet name="Results" sheetId="3" r:id="rId4"/>
    <sheet name="Example of graphs" sheetId="4" r:id="rId5"/>
    <sheet name="Infopages" sheetId="6" r:id="rId6"/>
  </sheets>
  <externalReferences>
    <externalReference r:id="rId7"/>
    <externalReference r:id="rId8"/>
  </externalReferences>
  <calcPr calcId="191029" refMode="R1C1" iterateCount="0" calcOnSave="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7" l="1"/>
  <c r="I20" i="2"/>
  <c r="I17" i="2"/>
  <c r="I27" i="2"/>
  <c r="L13" i="1"/>
  <c r="J13" i="1"/>
  <c r="H13" i="1"/>
  <c r="G13" i="1"/>
  <c r="F13" i="1"/>
  <c r="T15" i="1"/>
  <c r="S15" i="1"/>
  <c r="R15" i="1"/>
  <c r="Q15" i="1"/>
  <c r="P15" i="1"/>
  <c r="O15" i="1"/>
  <c r="N15" i="1"/>
  <c r="M15" i="1"/>
  <c r="L15" i="1"/>
  <c r="I15" i="1"/>
  <c r="J15" i="1"/>
  <c r="H15" i="1"/>
  <c r="G15" i="1"/>
  <c r="F15" i="1"/>
  <c r="I15" i="2"/>
  <c r="I18" i="2"/>
  <c r="I21" i="2"/>
  <c r="I24" i="2"/>
  <c r="I30" i="2"/>
  <c r="I33" i="2"/>
  <c r="I5" i="2"/>
  <c r="I2" i="2"/>
</calcChain>
</file>

<file path=xl/sharedStrings.xml><?xml version="1.0" encoding="utf-8"?>
<sst xmlns="http://schemas.openxmlformats.org/spreadsheetml/2006/main" count="613" uniqueCount="140">
  <si>
    <t>unit</t>
  </si>
  <si>
    <t>meter-year</t>
  </si>
  <si>
    <t>kilowatt hour</t>
  </si>
  <si>
    <t>kilogram</t>
  </si>
  <si>
    <t>litre</t>
  </si>
  <si>
    <t>battery production, average europe</t>
  </si>
  <si>
    <t xml:space="preserve">petrol production </t>
  </si>
  <si>
    <t>LPG production</t>
  </si>
  <si>
    <t xml:space="preserve">diesel production </t>
  </si>
  <si>
    <t xml:space="preserve">CNG production </t>
  </si>
  <si>
    <t>maintenance, passenger car</t>
  </si>
  <si>
    <t>passenger car production Recycled content, electric, without battery</t>
  </si>
  <si>
    <t>passenger car production Recycled content, diesel</t>
  </si>
  <si>
    <t>passenger car production Recycled content, petrol/natural gas</t>
  </si>
  <si>
    <t>RER</t>
  </si>
  <si>
    <t>GLO</t>
  </si>
  <si>
    <t>BE</t>
  </si>
  <si>
    <t>Road</t>
  </si>
  <si>
    <t>Maintenance</t>
  </si>
  <si>
    <t>road_maintenance</t>
  </si>
  <si>
    <t>passenger car, plug-in hybrid</t>
  </si>
  <si>
    <t>kilowatt-hour</t>
  </si>
  <si>
    <t>Electricity_2050</t>
  </si>
  <si>
    <t>fuel cell system</t>
  </si>
  <si>
    <t>hydrogen_car</t>
  </si>
  <si>
    <t>hydrogen_grey</t>
  </si>
  <si>
    <t>hydrogen_green</t>
  </si>
  <si>
    <t>Index</t>
  </si>
  <si>
    <t>Amount</t>
  </si>
  <si>
    <t>Unit</t>
  </si>
  <si>
    <t>Location</t>
  </si>
  <si>
    <t>Vehicle mass</t>
  </si>
  <si>
    <t>Fuel</t>
  </si>
  <si>
    <t>Battery capacity</t>
  </si>
  <si>
    <t>WTT</t>
  </si>
  <si>
    <t>Fuel cell</t>
  </si>
  <si>
    <t>Petrol</t>
  </si>
  <si>
    <t>Diesel</t>
  </si>
  <si>
    <t>CNG</t>
  </si>
  <si>
    <t>LPG</t>
  </si>
  <si>
    <t>HEV-petrol</t>
  </si>
  <si>
    <t>Grey</t>
  </si>
  <si>
    <t>Green</t>
  </si>
  <si>
    <t xml:space="preserve">UF 2027 - 2050 </t>
  </si>
  <si>
    <t>FCEV</t>
  </si>
  <si>
    <t>Road maintenance</t>
  </si>
  <si>
    <t>PHEV WTT</t>
  </si>
  <si>
    <t>Battery mass</t>
  </si>
  <si>
    <t>Glider &amp; powertrain production</t>
  </si>
  <si>
    <t>Battery</t>
  </si>
  <si>
    <t>Fuel cell system</t>
  </si>
  <si>
    <t>Total</t>
  </si>
  <si>
    <t>Acidfication</t>
  </si>
  <si>
    <t>Ecotoxicity freshwater</t>
  </si>
  <si>
    <t xml:space="preserve">Energy ressources: non-renewable </t>
  </si>
  <si>
    <t>Eutrophication: terrestrial</t>
  </si>
  <si>
    <t>Eutrophication: marine</t>
  </si>
  <si>
    <t>Eutrophication: freshwater</t>
  </si>
  <si>
    <t>Human toxicity: carcinogenics</t>
  </si>
  <si>
    <t>Human toxicity: non-carcinogenics</t>
  </si>
  <si>
    <t>Ionising radiation</t>
  </si>
  <si>
    <t>Land use</t>
  </si>
  <si>
    <t>Material resources: metals/minerals</t>
  </si>
  <si>
    <t>Ozone depletion</t>
  </si>
  <si>
    <t>Particulate matter formation</t>
  </si>
  <si>
    <t>Photochemical oxidant formation</t>
  </si>
  <si>
    <t>Water use</t>
  </si>
  <si>
    <t>Small</t>
  </si>
  <si>
    <t>Large</t>
  </si>
  <si>
    <t>Medium</t>
  </si>
  <si>
    <t xml:space="preserve">PHEV-petrol </t>
  </si>
  <si>
    <t xml:space="preserve">BEV </t>
  </si>
  <si>
    <t>Current</t>
  </si>
  <si>
    <t>Homologation test</t>
  </si>
  <si>
    <t xml:space="preserve">prospective Electricity </t>
  </si>
  <si>
    <t xml:space="preserve">150 000 </t>
  </si>
  <si>
    <t>Mileage (km)</t>
  </si>
  <si>
    <t xml:space="preserve">Climate change </t>
  </si>
  <si>
    <t xml:space="preserve">Note: </t>
  </si>
  <si>
    <t>Note:</t>
  </si>
  <si>
    <t xml:space="preserve">This is the underlying inventory. It should not be public but used for the background calculations </t>
  </si>
  <si>
    <t>Possibility to chose:</t>
  </si>
  <si>
    <t>1) Small, medium, large</t>
  </si>
  <si>
    <t>2) Fuel (petrol, diesel, cng, lpg, HEV petrol, PHEV petrol, BEV, FCEV)</t>
  </si>
  <si>
    <t>3) for BEV and FCEV: choice of current and 2050 electricity mix, or grey and green for hydrogen</t>
  </si>
  <si>
    <t xml:space="preserve">4) Mileage range between 150 000km and 260 000km </t>
  </si>
  <si>
    <t xml:space="preserve">Once it is chosen, the calculation can be done. It is a comparative tool, so then the consumers should be able to change the set up of parameters and add the new cars to the results </t>
  </si>
  <si>
    <t>This is the parameters of the vehicles. Some should be chosen by the consumers. The others are underlying parameters.</t>
  </si>
  <si>
    <t>--&gt; Same template for all impact categories</t>
  </si>
  <si>
    <t xml:space="preserve">Impact category to choose : </t>
  </si>
  <si>
    <t>Results are calculated by multiplying the parameters with the Emission factor, and then sum for the total. Please note that the impact categories results should not be mixed, the results should be given per impact categories.</t>
  </si>
  <si>
    <t>Well-to-tank</t>
  </si>
  <si>
    <t>Tank-to-wheel</t>
  </si>
  <si>
    <t>Calculation : Car parameters on the left of the multiplication and Emission factor of the right of the multiplication</t>
  </si>
  <si>
    <t>For this part, it is a bit more complicated to have multiplication so I will provide a direct results for each line of the above table (it will be per km)</t>
  </si>
  <si>
    <t>=road*road</t>
  </si>
  <si>
    <t xml:space="preserve">Total </t>
  </si>
  <si>
    <t>Title :</t>
  </si>
  <si>
    <t>Life Cycle Assessment of passenger cars</t>
  </si>
  <si>
    <t>Description :</t>
  </si>
  <si>
    <t>Once the car parameters are chosen, it coul dbe good to mention some assumptions (such as battery capacity for EV) However I do not know yet how it include this in a easy and clear way, so I will see once you provide a first draft of website</t>
  </si>
  <si>
    <t xml:space="preserve">The tool aims to compare the environmental impacts of passenger cars across all impact categories of the Environmental Footprint methodology. The approach follows the framework of life cycle assessment, accounting for pollutant emissions from raw material extraction to end-of-life treatment of the vehicle. Several parameters can be chosen including the type of fuel, the size of the car or the mileage. </t>
  </si>
  <si>
    <t>For one impact category :</t>
  </si>
  <si>
    <t xml:space="preserve">=WTT*prospective Electricity  + PHEV WTT* petrol production </t>
  </si>
  <si>
    <t xml:space="preserve">=WTT*Electricity_2050  + PHEV WTT* petrol production </t>
  </si>
  <si>
    <t>prospective Electricity</t>
  </si>
  <si>
    <t>Electricity_2051</t>
  </si>
  <si>
    <t>Electricity_2052</t>
  </si>
  <si>
    <t>=(Vehicle mass-Battery mass) * passenger car production Recycled content, xxxx ou hydrogen_car ou passenger car,plugin hbrid/mileage</t>
  </si>
  <si>
    <t>= Battery capacity* battery production, average Europe/mileage</t>
  </si>
  <si>
    <t>=WTT*XXX production /100</t>
  </si>
  <si>
    <t>=fuel cell* fuel cell system/mileage</t>
  </si>
  <si>
    <t>=SUM of everything in the right</t>
  </si>
  <si>
    <t xml:space="preserve">fuel cell system </t>
  </si>
  <si>
    <t>=road maintenance*Road maintenance+maintenance, passenger cars*Maintenance</t>
  </si>
  <si>
    <t xml:space="preserve">Choice </t>
  </si>
  <si>
    <t>maintenance,passenger cars</t>
  </si>
  <si>
    <t>Here it is the sum, per km</t>
  </si>
  <si>
    <t>tyre_wear</t>
  </si>
  <si>
    <t>brake_wear</t>
  </si>
  <si>
    <t>Tyre wear</t>
  </si>
  <si>
    <t>Brake wear</t>
  </si>
  <si>
    <t>=TTW in parameters + tyre_wear*Tyre wear+brake_wear*brake wear</t>
  </si>
  <si>
    <t>=tyre_wear*Tyre wear+brake_wear*brake wear</t>
  </si>
  <si>
    <t xml:space="preserve">Scenario description to be added as additional information </t>
  </si>
  <si>
    <t>The fuel consumption and CO2 emissions correspond to the results from the homologation tests</t>
  </si>
  <si>
    <t>The fuel consumption and CO2 emissions correspond to the real-life consumption, adapting the utility factor of the PHEV</t>
  </si>
  <si>
    <t xml:space="preserve">Petrol </t>
  </si>
  <si>
    <t xml:space="preserve">How to name the fuel type to be better understand : </t>
  </si>
  <si>
    <t>Petrol hybrid</t>
  </si>
  <si>
    <t>Petrol plugin hybrid</t>
  </si>
  <si>
    <t xml:space="preserve">Electricity </t>
  </si>
  <si>
    <t xml:space="preserve">Hydrogen </t>
  </si>
  <si>
    <t xml:space="preserve">The electricity mix corresponds to the assumed future 2050 Belgium mix </t>
  </si>
  <si>
    <t>Prospective electricity mix</t>
  </si>
  <si>
    <t>The electricity mix is assessed dynamically and it corresponds to the Belgium prospective mix. It means that it represents the average impacts of the electricity mix up until the end of the vehicle usage. It therefore includes the fact that the electricity mix is expected to decrease during the use of the car.</t>
  </si>
  <si>
    <t>Description</t>
  </si>
  <si>
    <t xml:space="preserve">New name </t>
  </si>
  <si>
    <r>
      <t>Grey hydrogen</t>
    </r>
    <r>
      <rPr>
        <sz val="11"/>
        <color theme="1"/>
        <rFont val="Calibri"/>
        <family val="2"/>
        <scheme val="minor"/>
      </rPr>
      <t xml:space="preserve"> is produced by reforming methane with steam which is the dominant method today.  </t>
    </r>
  </si>
  <si>
    <r>
      <t>Green hydrogen</t>
    </r>
    <r>
      <rPr>
        <sz val="11"/>
        <color theme="1"/>
        <rFont val="Calibri"/>
        <family val="2"/>
        <scheme val="minor"/>
      </rPr>
      <t xml:space="preserve"> is produced by electrolysis of water, powered entirely by renewable electricity (solar, wind, etc.).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</si>
</sst>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1" tint="0.34998626667073579"/>
        <bgColor indexed="64"/>
      </patternFill>
    </fill>
    <fill>
      <patternFill patternType="solid">
        <fgColor rgb="FFFFC000"/>
        <bgColor indexed="64"/>
      </patternFill>
    </fill>
    <fill>
      <patternFill patternType="solid">
        <fgColor theme="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top style="thin">
        <color auto="1"/>
      </top>
      <bottom style="thin">
        <color auto="1"/>
      </bottom>
      <diagonal/>
    </border>
    <border>
      <left/>
      <right style="thin">
        <color auto="1"/>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58">
    <xf numFmtId="0" fontId="0" fillId="0" borderId="0" xfId="0"/>
    <xf numFmtId="0" fontId="1" fillId="0" borderId="1" xfId="0" applyFont="1" applyBorder="1" applyAlignment="1">
      <alignment horizontal="center" vertical="top"/>
    </xf>
    <xf numFmtId="0" fontId="0" fillId="0" borderId="1" xfId="0" applyBorder="1"/>
    <xf numFmtId="0" fontId="0" fillId="0" borderId="0" xfId="0" applyAlignment="1">
      <alignment horizontal="center" vertical="center"/>
    </xf>
    <xf numFmtId="0" fontId="0" fillId="0" borderId="1" xfId="0" applyBorder="1" applyAlignment="1">
      <alignment horizontal="center" vertical="center"/>
    </xf>
    <xf numFmtId="11" fontId="0" fillId="0" borderId="1" xfId="0" applyNumberFormat="1" applyBorder="1"/>
    <xf numFmtId="0" fontId="0" fillId="0" borderId="3" xfId="0" applyBorder="1"/>
    <xf numFmtId="0" fontId="0" fillId="0" borderId="2" xfId="0" applyBorder="1"/>
    <xf numFmtId="0" fontId="0" fillId="0" borderId="4" xfId="0" applyBorder="1"/>
    <xf numFmtId="0" fontId="0" fillId="0" borderId="7" xfId="0" applyBorder="1" applyAlignment="1">
      <alignment horizontal="center" vertical="center"/>
    </xf>
    <xf numFmtId="0" fontId="0" fillId="0" borderId="8" xfId="0" applyBorder="1" applyAlignment="1">
      <alignment horizontal="center" vertical="center"/>
    </xf>
    <xf numFmtId="0" fontId="0" fillId="0" borderId="0" xfId="0" applyAlignment="1">
      <alignment vertical="center"/>
    </xf>
    <xf numFmtId="0" fontId="0" fillId="0" borderId="0" xfId="0" quotePrefix="1"/>
    <xf numFmtId="0" fontId="1" fillId="0" borderId="0" xfId="0" applyFont="1"/>
    <xf numFmtId="0" fontId="0" fillId="0" borderId="1" xfId="0" quotePrefix="1" applyBorder="1" applyAlignment="1">
      <alignment vertical="center"/>
    </xf>
    <xf numFmtId="0" fontId="0" fillId="0" borderId="1" xfId="0" quotePrefix="1" applyBorder="1" applyAlignment="1">
      <alignment horizontal="left" vertical="center"/>
    </xf>
    <xf numFmtId="0" fontId="0" fillId="0" borderId="1" xfId="0" applyBorder="1" applyAlignment="1">
      <alignment horizontal="left" vertical="center"/>
    </xf>
    <xf numFmtId="0" fontId="0" fillId="0" borderId="1" xfId="0" quotePrefix="1" applyBorder="1" applyAlignment="1">
      <alignment wrapText="1"/>
    </xf>
    <xf numFmtId="0" fontId="0" fillId="0" borderId="1" xfId="0" quotePrefix="1" applyBorder="1" applyAlignment="1">
      <alignment vertical="center" wrapText="1"/>
    </xf>
    <xf numFmtId="0" fontId="1" fillId="0" borderId="0" xfId="0" applyFont="1" applyAlignment="1">
      <alignment vertical="center"/>
    </xf>
    <xf numFmtId="0" fontId="0" fillId="0" borderId="0" xfId="0" applyAlignment="1">
      <alignment wrapText="1"/>
    </xf>
    <xf numFmtId="0" fontId="1" fillId="0" borderId="3" xfId="0" applyFont="1" applyBorder="1" applyAlignment="1">
      <alignment horizontal="center" vertical="top"/>
    </xf>
    <xf numFmtId="0" fontId="0" fillId="0" borderId="9" xfId="0" applyBorder="1" applyAlignment="1">
      <alignment vertical="center"/>
    </xf>
    <xf numFmtId="0" fontId="0" fillId="0" borderId="10" xfId="0" applyBorder="1" applyAlignment="1">
      <alignment vertical="center"/>
    </xf>
    <xf numFmtId="0" fontId="0" fillId="0" borderId="1" xfId="0" applyBorder="1" applyAlignment="1">
      <alignment vertical="center"/>
    </xf>
    <xf numFmtId="0" fontId="0" fillId="0" borderId="6" xfId="0" applyBorder="1" applyAlignment="1">
      <alignment vertical="center"/>
    </xf>
    <xf numFmtId="0" fontId="0" fillId="0" borderId="1" xfId="0" quotePrefix="1" applyBorder="1" applyAlignment="1">
      <alignment horizontal="center" vertical="center"/>
    </xf>
    <xf numFmtId="0" fontId="0" fillId="2" borderId="1" xfId="0" applyFill="1" applyBorder="1"/>
    <xf numFmtId="0" fontId="1" fillId="0" borderId="8" xfId="0" applyFont="1" applyBorder="1" applyAlignment="1">
      <alignment horizontal="center" vertical="top"/>
    </xf>
    <xf numFmtId="0" fontId="1" fillId="0" borderId="12" xfId="0" applyFont="1" applyBorder="1" applyAlignment="1">
      <alignment horizontal="center" vertical="top"/>
    </xf>
    <xf numFmtId="0" fontId="0" fillId="0" borderId="12" xfId="0" applyBorder="1"/>
    <xf numFmtId="0" fontId="0" fillId="0" borderId="6" xfId="0" applyBorder="1"/>
    <xf numFmtId="0" fontId="0" fillId="2" borderId="8" xfId="0" applyFill="1" applyBorder="1"/>
    <xf numFmtId="0" fontId="0" fillId="3" borderId="1" xfId="0" applyFill="1" applyBorder="1"/>
    <xf numFmtId="0" fontId="0" fillId="2" borderId="7" xfId="0" applyFill="1" applyBorder="1"/>
    <xf numFmtId="0" fontId="0" fillId="4" borderId="1" xfId="0" applyFill="1" applyBorder="1"/>
    <xf numFmtId="11" fontId="0" fillId="0" borderId="0" xfId="0" applyNumberFormat="1"/>
    <xf numFmtId="0" fontId="0" fillId="5" borderId="1" xfId="0" applyFill="1" applyBorder="1" applyAlignment="1">
      <alignment horizontal="center" vertical="center"/>
    </xf>
    <xf numFmtId="0" fontId="0" fillId="0" borderId="1" xfId="0" quotePrefix="1" applyBorder="1"/>
    <xf numFmtId="0" fontId="0" fillId="5" borderId="0" xfId="0" applyFill="1"/>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3" xfId="0" applyBorder="1" applyAlignment="1">
      <alignment horizontal="center" vertical="center"/>
    </xf>
    <xf numFmtId="0" fontId="0" fillId="0" borderId="0" xfId="0" applyAlignment="1">
      <alignment horizontal="center" vertical="center"/>
    </xf>
    <xf numFmtId="0" fontId="0" fillId="0" borderId="11"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12" xfId="0" applyBorder="1" applyAlignment="1">
      <alignment horizontal="center" vertical="center"/>
    </xf>
    <xf numFmtId="0" fontId="0" fillId="0" borderId="8" xfId="0" quotePrefix="1" applyBorder="1" applyAlignment="1">
      <alignment horizontal="center" vertical="center" wrapText="1"/>
    </xf>
    <xf numFmtId="0" fontId="0" fillId="0" borderId="12" xfId="0" quotePrefix="1" applyBorder="1" applyAlignment="1">
      <alignment horizontal="center" vertical="center" wrapText="1"/>
    </xf>
    <xf numFmtId="0" fontId="0" fillId="5" borderId="1" xfId="0" applyFill="1" applyBorder="1" applyAlignment="1">
      <alignment horizontal="center" vertical="center" wrapText="1"/>
    </xf>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104775</xdr:rowOff>
    </xdr:from>
    <xdr:to>
      <xdr:col>23</xdr:col>
      <xdr:colOff>174202</xdr:colOff>
      <xdr:row>28</xdr:row>
      <xdr:rowOff>49</xdr:rowOff>
    </xdr:to>
    <xdr:pic>
      <xdr:nvPicPr>
        <xdr:cNvPr id="2" name="Picture 1">
          <a:extLst>
            <a:ext uri="{FF2B5EF4-FFF2-40B4-BE49-F238E27FC236}">
              <a16:creationId xmlns:a16="http://schemas.microsoft.com/office/drawing/2014/main" id="{22314118-BF33-DDFC-2CCB-7B9BEB60CD2E}"/>
            </a:ext>
          </a:extLst>
        </xdr:cNvPr>
        <xdr:cNvPicPr>
          <a:picLocks noChangeAspect="1"/>
        </xdr:cNvPicPr>
      </xdr:nvPicPr>
      <xdr:blipFill>
        <a:blip xmlns:r="http://schemas.openxmlformats.org/officeDocument/2006/relationships" r:embed="rId1"/>
        <a:stretch>
          <a:fillRect/>
        </a:stretch>
      </xdr:blipFill>
      <xdr:spPr>
        <a:xfrm>
          <a:off x="28575" y="104775"/>
          <a:ext cx="14166427" cy="49625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vub-my.sharepoint.com/personal/lea_damore_vub_be/Documents/The&#768;se/PhD%20task/Lessons/ICT-students_LCIA-results.xlsx" TargetMode="External"/><Relationship Id="rId1" Type="http://schemas.openxmlformats.org/officeDocument/2006/relationships/externalLinkPath" Target="https://vub-my.sharepoint.com/personal/lea_damore_vub_be/Documents/The&#768;se/PhD%20task/Lessons/ICT-students_LCIA-resul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vub-my.sharepoint.com/personal/lea_damore_vub_be/Documents/The&#768;se/PhD%20task/Lessons/elecmix_2050_LCIA-results.xlsx" TargetMode="External"/><Relationship Id="rId1" Type="http://schemas.openxmlformats.org/officeDocument/2006/relationships/externalLinkPath" Target="https://vub-my.sharepoint.com/personal/lea_damore_vub_be/Documents/The&#768;se/PhD%20task/Lessons/elecmix_2050_LCIA-resul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5">
          <cell r="J15">
            <v>0.15136196439353478</v>
          </cell>
          <cell r="K15">
            <v>318.9586065530043</v>
          </cell>
          <cell r="L15">
            <v>243.24315689212514</v>
          </cell>
          <cell r="N15">
            <v>2.2933829038194596E-2</v>
          </cell>
          <cell r="P15">
            <v>6.8014927480686476E-8</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2">
          <cell r="J2">
            <v>3.9145732437022273E-5</v>
          </cell>
          <cell r="K2">
            <v>1.254143355176726E-2</v>
          </cell>
          <cell r="L2">
            <v>6.6791577147046494E-3</v>
          </cell>
          <cell r="N2">
            <v>1.4653622412388849E-5</v>
          </cell>
          <cell r="O2">
            <v>1.91590960744756E-4</v>
          </cell>
          <cell r="P2">
            <v>2.9753743822873701E-12</v>
          </cell>
          <cell r="Q2">
            <v>1.098759097985796E-10</v>
          </cell>
          <cell r="R2">
            <v>1.019524669928551E-5</v>
          </cell>
          <cell r="S2">
            <v>0.1558559474650868</v>
          </cell>
          <cell r="T2">
            <v>2.899663988838797E-8</v>
          </cell>
          <cell r="U2">
            <v>1.7121178273656691E-10</v>
          </cell>
          <cell r="V2">
            <v>5.2135465865583E-10</v>
          </cell>
          <cell r="W2">
            <v>3.0049388038973712E-5</v>
          </cell>
          <cell r="X2">
            <v>9.5188759752154017E-4</v>
          </cell>
        </row>
        <row r="3">
          <cell r="J3">
            <v>0</v>
          </cell>
          <cell r="K3">
            <v>0</v>
          </cell>
          <cell r="L3">
            <v>0</v>
          </cell>
          <cell r="N3">
            <v>0</v>
          </cell>
          <cell r="O3">
            <v>0</v>
          </cell>
          <cell r="P3">
            <v>0</v>
          </cell>
          <cell r="Q3">
            <v>0</v>
          </cell>
          <cell r="R3">
            <v>0</v>
          </cell>
          <cell r="S3">
            <v>0</v>
          </cell>
          <cell r="T3">
            <v>0</v>
          </cell>
          <cell r="U3">
            <v>0</v>
          </cell>
          <cell r="V3">
            <v>0</v>
          </cell>
          <cell r="W3">
            <v>0</v>
          </cell>
          <cell r="X3">
            <v>0</v>
          </cell>
        </row>
        <row r="4">
          <cell r="J4">
            <v>5.1099392854847757E-6</v>
          </cell>
          <cell r="K4">
            <v>7.7288408588117334E-3</v>
          </cell>
          <cell r="L4">
            <v>1.646730212582129</v>
          </cell>
          <cell r="N4">
            <v>6.6294218838494583E-6</v>
          </cell>
          <cell r="O4">
            <v>1.6035528068870391E-5</v>
          </cell>
          <cell r="P4">
            <v>6.9681856730463076E-13</v>
          </cell>
          <cell r="Q4">
            <v>3.8287055214909372E-11</v>
          </cell>
          <cell r="R4">
            <v>8.989498517374192E-2</v>
          </cell>
          <cell r="S4">
            <v>5.1799133092665381E-3</v>
          </cell>
          <cell r="T4">
            <v>1.469100839819172E-8</v>
          </cell>
          <cell r="U4">
            <v>1.0158612480195171E-11</v>
          </cell>
          <cell r="V4">
            <v>4.0547178423392202E-10</v>
          </cell>
          <cell r="W4">
            <v>4.7225717139973124E-6</v>
          </cell>
          <cell r="X4">
            <v>1.65428076781673E-2</v>
          </cell>
        </row>
        <row r="5">
          <cell r="J5">
            <v>7.5647916775656547E-6</v>
          </cell>
          <cell r="K5">
            <v>1.222897300060507E-2</v>
          </cell>
          <cell r="L5">
            <v>9.6026593343795374E-3</v>
          </cell>
          <cell r="N5">
            <v>9.5585607106877529E-7</v>
          </cell>
          <cell r="O5">
            <v>1.0661240722856391E-5</v>
          </cell>
          <cell r="P5">
            <v>1.174434587444413E-12</v>
          </cell>
          <cell r="Q5">
            <v>7.0233280658349359E-11</v>
          </cell>
          <cell r="R5">
            <v>6.1878296112628916E-5</v>
          </cell>
          <cell r="S5">
            <v>0.26007240845601459</v>
          </cell>
          <cell r="T5">
            <v>8.4115085482215288E-8</v>
          </cell>
          <cell r="U5">
            <v>1.5873353829518079E-10</v>
          </cell>
          <cell r="V5">
            <v>8.0166764203638411E-11</v>
          </cell>
          <cell r="W5">
            <v>4.473637252686188E-6</v>
          </cell>
          <cell r="X5">
            <v>2.377794626208444E-3</v>
          </cell>
        </row>
        <row r="6">
          <cell r="J6">
            <v>2.3168394755703811E-7</v>
          </cell>
          <cell r="K6">
            <v>5.7532503996040435E-4</v>
          </cell>
          <cell r="L6">
            <v>3.9168463078146151E-4</v>
          </cell>
          <cell r="N6">
            <v>5.5251686765948452E-8</v>
          </cell>
          <cell r="O6">
            <v>3.9221687539415111E-7</v>
          </cell>
          <cell r="P6">
            <v>7.4260920910256907E-14</v>
          </cell>
          <cell r="Q6">
            <v>2.4725403306005419E-12</v>
          </cell>
          <cell r="R6">
            <v>1.3831149932240889E-6</v>
          </cell>
          <cell r="S6">
            <v>1.571430114598467E-3</v>
          </cell>
          <cell r="T6">
            <v>1.171098175149053E-9</v>
          </cell>
          <cell r="U6">
            <v>3.4825512999004412E-13</v>
          </cell>
          <cell r="V6">
            <v>3.2541873703426472E-12</v>
          </cell>
          <cell r="W6">
            <v>1.3752546238487511E-7</v>
          </cell>
          <cell r="X6">
            <v>2.8397083270849071E-5</v>
          </cell>
        </row>
        <row r="7">
          <cell r="J7">
            <v>6.9430015326672014E-6</v>
          </cell>
          <cell r="K7">
            <v>8.5325314045657553E-3</v>
          </cell>
          <cell r="L7">
            <v>6.3459513396738304E-2</v>
          </cell>
          <cell r="N7">
            <v>1.962605857278903E-6</v>
          </cell>
          <cell r="O7">
            <v>1.8611401847180401E-5</v>
          </cell>
          <cell r="P7">
            <v>9.119711035423174E-13</v>
          </cell>
          <cell r="Q7">
            <v>4.147662101250983E-11</v>
          </cell>
          <cell r="R7">
            <v>4.3295466905100111E-4</v>
          </cell>
          <cell r="S7">
            <v>2.360274952261366E-2</v>
          </cell>
          <cell r="T7">
            <v>4.4893251667076193E-8</v>
          </cell>
          <cell r="U7">
            <v>3.1861559492678459E-10</v>
          </cell>
          <cell r="V7">
            <v>7.5767425145899261E-11</v>
          </cell>
          <cell r="W7">
            <v>5.6225628601016598E-6</v>
          </cell>
          <cell r="X7">
            <v>2.48507829755179E-3</v>
          </cell>
        </row>
        <row r="8">
          <cell r="J8">
            <v>3.5862112688515538E-5</v>
          </cell>
          <cell r="K8">
            <v>7.7139066482993499E-2</v>
          </cell>
          <cell r="L8">
            <v>5.6735558251852128E-2</v>
          </cell>
          <cell r="N8">
            <v>7.8918312350175678E-6</v>
          </cell>
          <cell r="O8">
            <v>5.94552769420075E-5</v>
          </cell>
          <cell r="P8">
            <v>8.8254175630796524E-12</v>
          </cell>
          <cell r="Q8">
            <v>3.4817863534724618E-10</v>
          </cell>
          <cell r="R8">
            <v>1.7578411876361351E-4</v>
          </cell>
          <cell r="S8">
            <v>3.2541043675223862E-2</v>
          </cell>
          <cell r="T8">
            <v>2.5282768150038559E-7</v>
          </cell>
          <cell r="U8">
            <v>5.7952801937992628E-11</v>
          </cell>
          <cell r="V8">
            <v>4.3712578119819608E-10</v>
          </cell>
          <cell r="W8">
            <v>2.046866641619573E-5</v>
          </cell>
          <cell r="X8">
            <v>4.0947874628856334E-3</v>
          </cell>
        </row>
        <row r="9">
          <cell r="J9">
            <v>4.508586060386918E-6</v>
          </cell>
          <cell r="K9">
            <v>6.2199065865973704E-3</v>
          </cell>
          <cell r="L9">
            <v>3.0470840528399701E-3</v>
          </cell>
          <cell r="N9">
            <v>4.9518320531445748E-7</v>
          </cell>
          <cell r="O9">
            <v>4.7172480410617542E-6</v>
          </cell>
          <cell r="P9">
            <v>8.1654518654567746E-13</v>
          </cell>
          <cell r="Q9">
            <v>4.7330927236652591E-11</v>
          </cell>
          <cell r="R9">
            <v>1.1492757784530669E-5</v>
          </cell>
          <cell r="S9">
            <v>4.5879847574633358E-3</v>
          </cell>
          <cell r="T9">
            <v>1.9071187893809739E-8</v>
          </cell>
          <cell r="U9">
            <v>4.5642336449701331E-12</v>
          </cell>
          <cell r="V9">
            <v>3.3462449901724577E-11</v>
          </cell>
          <cell r="W9">
            <v>1.5849870472660001E-6</v>
          </cell>
          <cell r="X9">
            <v>1.9808736682417149E-4</v>
          </cell>
        </row>
        <row r="10">
          <cell r="J10">
            <v>1.6780570001157241E-5</v>
          </cell>
          <cell r="K10">
            <v>2.4682731526435249E-2</v>
          </cell>
          <cell r="L10">
            <v>1.298345910783992E-2</v>
          </cell>
          <cell r="N10">
            <v>1.4414072164920969E-6</v>
          </cell>
          <cell r="O10">
            <v>1.6159718274715729E-5</v>
          </cell>
          <cell r="P10">
            <v>2.3251390701578271E-12</v>
          </cell>
          <cell r="Q10">
            <v>1.7104362319336421E-10</v>
          </cell>
          <cell r="R10">
            <v>1.0406306821721321E-4</v>
          </cell>
          <cell r="S10">
            <v>1.2864287314535859E-2</v>
          </cell>
          <cell r="T10">
            <v>1.517248045570947E-7</v>
          </cell>
          <cell r="U10">
            <v>2.0296583867151511E-10</v>
          </cell>
          <cell r="V10">
            <v>1.019261882102852E-10</v>
          </cell>
          <cell r="W10">
            <v>6.866181457648039E-6</v>
          </cell>
          <cell r="X10">
            <v>2.6783880984437079E-3</v>
          </cell>
        </row>
        <row r="11">
          <cell r="J11">
            <v>1.2323632959395901E-5</v>
          </cell>
          <cell r="K11">
            <v>1.8088167852547941E-2</v>
          </cell>
          <cell r="L11">
            <v>6.0924861370606632E-2</v>
          </cell>
          <cell r="N11">
            <v>3.08768235091361E-6</v>
          </cell>
          <cell r="O11">
            <v>3.0973872873199003E-5</v>
          </cell>
          <cell r="P11">
            <v>1.821906047669358E-12</v>
          </cell>
          <cell r="Q11">
            <v>8.3549588673717134E-11</v>
          </cell>
          <cell r="R11">
            <v>6.0974289190153313E-5</v>
          </cell>
          <cell r="S11">
            <v>8.2175699195667432E-2</v>
          </cell>
          <cell r="T11">
            <v>8.635954221728115E-8</v>
          </cell>
          <cell r="U11">
            <v>2.0626367783884509E-10</v>
          </cell>
          <cell r="V11">
            <v>1.2379765796344131E-10</v>
          </cell>
          <cell r="W11">
            <v>1.1476721666597879E-5</v>
          </cell>
          <cell r="X11">
            <v>1.669101048005996E-3</v>
          </cell>
        </row>
        <row r="12">
          <cell r="J12">
            <v>7.7472776462428316E-6</v>
          </cell>
          <cell r="K12">
            <v>4.7982468930991683E-3</v>
          </cell>
          <cell r="L12">
            <v>1.5616874826278311E-2</v>
          </cell>
          <cell r="N12">
            <v>1.4918336893835251E-6</v>
          </cell>
          <cell r="O12">
            <v>1.5912918807903001E-5</v>
          </cell>
          <cell r="P12">
            <v>3.0878416009651409E-12</v>
          </cell>
          <cell r="Q12">
            <v>2.2718050895946392E-12</v>
          </cell>
          <cell r="R12">
            <v>3.8439185719610422E-6</v>
          </cell>
          <cell r="S12">
            <v>3.585061673641672E-3</v>
          </cell>
          <cell r="T12">
            <v>7.2320519952768333E-10</v>
          </cell>
          <cell r="U12">
            <v>2.4870068112876639E-12</v>
          </cell>
          <cell r="V12">
            <v>8.3715508203661419E-11</v>
          </cell>
          <cell r="W12">
            <v>4.2682736234628247E-6</v>
          </cell>
          <cell r="X12">
            <v>1.02621377463716E-4</v>
          </cell>
        </row>
        <row r="13">
          <cell r="J13">
            <v>9.7730210813086325E-6</v>
          </cell>
          <cell r="K13">
            <v>2.546474497842046E-2</v>
          </cell>
          <cell r="L13">
            <v>1.859509628937759E-2</v>
          </cell>
          <cell r="N13">
            <v>2.495361425757441E-6</v>
          </cell>
          <cell r="O13">
            <v>1.90447602492607E-5</v>
          </cell>
          <cell r="P13">
            <v>2.7384633498770081E-12</v>
          </cell>
          <cell r="Q13">
            <v>1.037557436898732E-10</v>
          </cell>
          <cell r="R13">
            <v>6.2149439312182231E-5</v>
          </cell>
          <cell r="S13">
            <v>4.4257681962880949E-2</v>
          </cell>
          <cell r="T13">
            <v>5.5784602545235338E-8</v>
          </cell>
          <cell r="U13">
            <v>2.0907030714266559E-11</v>
          </cell>
          <cell r="V13">
            <v>1.6794206189395739E-10</v>
          </cell>
          <cell r="W13">
            <v>7.2327583038983001E-6</v>
          </cell>
          <cell r="X13">
            <v>9.7642900812584593E-4</v>
          </cell>
        </row>
        <row r="14">
          <cell r="J14">
            <v>8.2234931135153039E-10</v>
          </cell>
          <cell r="K14">
            <v>9.6630004329477722E-7</v>
          </cell>
          <cell r="L14">
            <v>6.518460427444838E-6</v>
          </cell>
          <cell r="N14">
            <v>1.936391112071945E-10</v>
          </cell>
          <cell r="O14">
            <v>1.8426869747975081E-9</v>
          </cell>
          <cell r="P14">
            <v>1.055790424767272E-16</v>
          </cell>
          <cell r="Q14">
            <v>5.7158067050016959E-15</v>
          </cell>
          <cell r="R14">
            <v>4.507177025073162E-8</v>
          </cell>
          <cell r="S14">
            <v>4.5545081151615411E-6</v>
          </cell>
          <cell r="T14">
            <v>4.7499332527321784E-12</v>
          </cell>
          <cell r="U14">
            <v>3.4738307319810308E-14</v>
          </cell>
          <cell r="V14">
            <v>6.4196540093881407E-15</v>
          </cell>
          <cell r="W14">
            <v>5.5119584727459616E-10</v>
          </cell>
          <cell r="X14">
            <v>2.283509900936015E-7</v>
          </cell>
        </row>
        <row r="15">
          <cell r="J15">
            <v>5.2199236904431707E-9</v>
          </cell>
          <cell r="K15">
            <v>5.1048051914835378E-6</v>
          </cell>
          <cell r="L15">
            <v>9.5900215816840222E-6</v>
          </cell>
          <cell r="N15">
            <v>1.741479905995628E-9</v>
          </cell>
          <cell r="O15">
            <v>1.809575510312238E-8</v>
          </cell>
          <cell r="P15">
            <v>8.6638212265363638E-16</v>
          </cell>
          <cell r="Q15">
            <v>1.9676736172343491E-14</v>
          </cell>
          <cell r="R15">
            <v>1.356805374732881E-8</v>
          </cell>
          <cell r="S15">
            <v>8.5769031439303904E-7</v>
          </cell>
          <cell r="T15">
            <v>1.418775526642106E-11</v>
          </cell>
          <cell r="U15">
            <v>1.327864687342085E-14</v>
          </cell>
          <cell r="V15">
            <v>1.576261288970232E-13</v>
          </cell>
          <cell r="W15">
            <v>5.6071406133671423E-9</v>
          </cell>
          <cell r="X15">
            <v>6.5368727066731794E-7</v>
          </cell>
        </row>
        <row r="16">
          <cell r="J16">
            <v>1.7778113242039539E-7</v>
          </cell>
          <cell r="K16">
            <v>6.2057383612847363E-6</v>
          </cell>
          <cell r="L16">
            <v>5.1566119268979186E-6</v>
          </cell>
          <cell r="N16">
            <v>6.0812324607817555E-8</v>
          </cell>
          <cell r="O16">
            <v>6.6344286025749062E-7</v>
          </cell>
          <cell r="P16">
            <v>9.2259888592763933E-16</v>
          </cell>
          <cell r="Q16">
            <v>5.7791840085884734E-14</v>
          </cell>
          <cell r="R16">
            <v>1.228377398861193E-8</v>
          </cell>
          <cell r="S16">
            <v>2.0586748521931662E-5</v>
          </cell>
          <cell r="T16">
            <v>1.164183476676823E-11</v>
          </cell>
          <cell r="U16">
            <v>8.6352792693229139E-15</v>
          </cell>
          <cell r="V16">
            <v>1.408933311676594E-13</v>
          </cell>
          <cell r="W16">
            <v>1.671679951845939E-7</v>
          </cell>
          <cell r="X16">
            <v>1.347197627944671E-6</v>
          </cell>
        </row>
        <row r="17">
          <cell r="J17">
            <v>1.2703324397400821E-6</v>
          </cell>
          <cell r="K17">
            <v>7.8614743639816354E-5</v>
          </cell>
          <cell r="L17">
            <v>1.769031106910391E-3</v>
          </cell>
          <cell r="N17">
            <v>1.4573926848474189E-7</v>
          </cell>
          <cell r="O17">
            <v>1.5840319827471311E-6</v>
          </cell>
          <cell r="P17">
            <v>3.9180676434589741E-14</v>
          </cell>
          <cell r="Q17">
            <v>2.4414708765997479E-13</v>
          </cell>
          <cell r="R17">
            <v>9.5794278630672297E-8</v>
          </cell>
          <cell r="S17">
            <v>1.017829664644433E-4</v>
          </cell>
          <cell r="T17">
            <v>5.0177815988160177E-11</v>
          </cell>
          <cell r="U17">
            <v>3.0423052989309388E-12</v>
          </cell>
          <cell r="V17">
            <v>8.496354752270928E-12</v>
          </cell>
          <cell r="W17">
            <v>6.5301532560334743E-7</v>
          </cell>
          <cell r="X17">
            <v>8.0784226904904426E-6</v>
          </cell>
        </row>
        <row r="18">
          <cell r="J18">
            <v>3.4315705558441668E-5</v>
          </cell>
          <cell r="K18">
            <v>4.9982733803677612E-2</v>
          </cell>
          <cell r="L18">
            <v>2.621433897808019E-2</v>
          </cell>
          <cell r="N18">
            <v>3.0150611956390962E-6</v>
          </cell>
          <cell r="O18">
            <v>3.3599469765883597E-5</v>
          </cell>
          <cell r="P18">
            <v>4.8084284116560757E-12</v>
          </cell>
          <cell r="Q18">
            <v>3.503660109528001E-10</v>
          </cell>
          <cell r="R18">
            <v>1.846943111027643E-4</v>
          </cell>
          <cell r="S18">
            <v>2.5417982273993198E-2</v>
          </cell>
          <cell r="T18">
            <v>3.203927438623577E-7</v>
          </cell>
          <cell r="U18">
            <v>4.5115518462440249E-10</v>
          </cell>
          <cell r="V18">
            <v>2.1914060106074239E-10</v>
          </cell>
          <cell r="W18">
            <v>1.444265064157261E-5</v>
          </cell>
          <cell r="X18">
            <v>6.636862730179674E-3</v>
          </cell>
        </row>
        <row r="19">
          <cell r="J19">
            <v>6.4800420012671955E-10</v>
          </cell>
          <cell r="K19">
            <v>8.1177729354216187E-7</v>
          </cell>
          <cell r="L19">
            <v>6.3630677997896362E-6</v>
          </cell>
          <cell r="N19">
            <v>1.8258955541076171E-10</v>
          </cell>
          <cell r="O19">
            <v>1.710769965027047E-9</v>
          </cell>
          <cell r="P19">
            <v>8.5066150228149813E-17</v>
          </cell>
          <cell r="Q19">
            <v>3.9998015049917096E-15</v>
          </cell>
          <cell r="R19">
            <v>4.3999335010368027E-8</v>
          </cell>
          <cell r="S19">
            <v>4.3926537475166769E-6</v>
          </cell>
          <cell r="T19">
            <v>4.3577568906357024E-12</v>
          </cell>
          <cell r="U19">
            <v>3.230103143607487E-14</v>
          </cell>
          <cell r="V19">
            <v>5.8210801913279671E-15</v>
          </cell>
          <cell r="W19">
            <v>5.0967095292137254E-10</v>
          </cell>
          <cell r="X19">
            <v>2.2198957903471451E-7</v>
          </cell>
        </row>
        <row r="20">
          <cell r="J20">
            <v>1.986140242508485E-7</v>
          </cell>
          <cell r="K20">
            <v>9.3547657599234131E-5</v>
          </cell>
          <cell r="L20">
            <v>6.6814676495763684E-3</v>
          </cell>
          <cell r="N20">
            <v>9.7935816524567509E-8</v>
          </cell>
          <cell r="O20">
            <v>9.7483724107358923E-7</v>
          </cell>
          <cell r="P20">
            <v>7.0229539975879169E-15</v>
          </cell>
          <cell r="Q20">
            <v>3.1672505989788642E-13</v>
          </cell>
          <cell r="R20">
            <v>3.3951030910740972E-7</v>
          </cell>
          <cell r="S20">
            <v>4.0495582204996857E-5</v>
          </cell>
          <cell r="T20">
            <v>5.1008021377411728E-11</v>
          </cell>
          <cell r="U20">
            <v>3.6223638093972317E-11</v>
          </cell>
          <cell r="V20">
            <v>5.956863186485528E-13</v>
          </cell>
          <cell r="W20">
            <v>2.7111530613596517E-7</v>
          </cell>
          <cell r="X20">
            <v>2.817065022910966E-5</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9"/>
  <sheetViews>
    <sheetView tabSelected="1" topLeftCell="M1" workbookViewId="0">
      <selection activeCell="S25" sqref="S25"/>
    </sheetView>
  </sheetViews>
  <sheetFormatPr baseColWidth="10" defaultColWidth="8.88671875" defaultRowHeight="14.4" x14ac:dyDescent="0.3"/>
  <cols>
    <col min="1" max="1" width="69" customWidth="1"/>
    <col min="3" max="3" width="14.109375" customWidth="1"/>
    <col min="5" max="5" width="14" bestFit="1" customWidth="1"/>
    <col min="6" max="6" width="11.21875" bestFit="1" customWidth="1"/>
    <col min="7" max="7" width="20.44140625" bestFit="1" customWidth="1"/>
    <col min="8" max="8" width="31.77734375" bestFit="1" customWidth="1"/>
    <col min="9" max="9" width="23.5546875" bestFit="1" customWidth="1"/>
    <col min="10" max="10" width="21.109375" bestFit="1" customWidth="1"/>
    <col min="11" max="11" width="24.44140625" bestFit="1" customWidth="1"/>
    <col min="12" max="12" width="26.88671875" bestFit="1" customWidth="1"/>
    <col min="13" max="13" width="31.109375" bestFit="1" customWidth="1"/>
    <col min="14" max="14" width="16.109375" bestFit="1" customWidth="1"/>
    <col min="15" max="15" width="8.44140625" bestFit="1" customWidth="1"/>
    <col min="16" max="16" width="33" bestFit="1" customWidth="1"/>
    <col min="17" max="17" width="15.5546875" bestFit="1" customWidth="1"/>
    <col min="18" max="18" width="26.109375" bestFit="1" customWidth="1"/>
    <col min="19" max="19" width="30.44140625" bestFit="1" customWidth="1"/>
  </cols>
  <sheetData>
    <row r="1" spans="1:20" x14ac:dyDescent="0.3">
      <c r="A1" s="21" t="s">
        <v>27</v>
      </c>
      <c r="B1" s="21" t="s">
        <v>28</v>
      </c>
      <c r="C1" s="21" t="s">
        <v>29</v>
      </c>
      <c r="D1" s="21" t="s">
        <v>30</v>
      </c>
      <c r="E1" s="21" t="s">
        <v>77</v>
      </c>
      <c r="F1" s="21" t="s">
        <v>52</v>
      </c>
      <c r="G1" s="21" t="s">
        <v>53</v>
      </c>
      <c r="H1" s="21" t="s">
        <v>54</v>
      </c>
      <c r="I1" s="21" t="s">
        <v>55</v>
      </c>
      <c r="J1" s="21" t="s">
        <v>56</v>
      </c>
      <c r="K1" s="21" t="s">
        <v>57</v>
      </c>
      <c r="L1" s="21" t="s">
        <v>58</v>
      </c>
      <c r="M1" s="21" t="s">
        <v>59</v>
      </c>
      <c r="N1" s="21" t="s">
        <v>60</v>
      </c>
      <c r="O1" s="21" t="s">
        <v>61</v>
      </c>
      <c r="P1" s="21" t="s">
        <v>62</v>
      </c>
      <c r="Q1" s="21" t="s">
        <v>63</v>
      </c>
      <c r="R1" s="21" t="s">
        <v>64</v>
      </c>
      <c r="S1" s="21" t="s">
        <v>65</v>
      </c>
      <c r="T1" s="21" t="s">
        <v>66</v>
      </c>
    </row>
    <row r="2" spans="1:20" s="2" customFormat="1" x14ac:dyDescent="0.3">
      <c r="A2" s="2" t="s">
        <v>17</v>
      </c>
      <c r="B2" s="2">
        <v>1</v>
      </c>
      <c r="C2" s="2" t="s">
        <v>1</v>
      </c>
      <c r="D2" s="2" t="s">
        <v>14</v>
      </c>
      <c r="E2" s="2">
        <v>5.3514655076178919</v>
      </c>
      <c r="F2" s="2">
        <v>9.175133206348951E-2</v>
      </c>
      <c r="G2" s="2">
        <v>33.616969715094783</v>
      </c>
      <c r="H2" s="2">
        <v>331.3010415092503</v>
      </c>
      <c r="I2" s="2">
        <v>0.3409469245688197</v>
      </c>
      <c r="J2" s="2">
        <v>3.1181988601652819E-2</v>
      </c>
      <c r="K2" s="2">
        <v>2.8080810792592099E-3</v>
      </c>
      <c r="L2" s="2">
        <v>3.6033788345675019E-9</v>
      </c>
      <c r="M2" s="2">
        <v>9.1416263726626199E-8</v>
      </c>
      <c r="N2" s="2">
        <v>0.60226333875261184</v>
      </c>
      <c r="O2" s="2">
        <v>1345.502403229704</v>
      </c>
      <c r="P2" s="2">
        <v>3.2954689039933627E-5</v>
      </c>
      <c r="Q2" s="2">
        <v>3.6134207709519019E-7</v>
      </c>
      <c r="R2" s="2">
        <v>3.103372203993453E-6</v>
      </c>
      <c r="S2" s="2">
        <v>0.1662111365081681</v>
      </c>
      <c r="T2" s="2">
        <v>4.0652332708052068</v>
      </c>
    </row>
    <row r="3" spans="1:20" s="2" customFormat="1" x14ac:dyDescent="0.3">
      <c r="A3" s="2" t="s">
        <v>10</v>
      </c>
      <c r="B3" s="2">
        <v>1</v>
      </c>
      <c r="C3" s="2" t="s">
        <v>0</v>
      </c>
      <c r="D3" s="2" t="s">
        <v>14</v>
      </c>
      <c r="E3" s="2">
        <v>1014.024171044735</v>
      </c>
      <c r="F3" s="2">
        <v>4.4846004767939682</v>
      </c>
      <c r="G3" s="2">
        <v>9892.2448342465068</v>
      </c>
      <c r="H3" s="2">
        <v>20665.305989196921</v>
      </c>
      <c r="I3" s="2">
        <v>7.1165164984539784</v>
      </c>
      <c r="J3" s="2">
        <v>0.70633005718204123</v>
      </c>
      <c r="K3" s="2">
        <v>0.3854626577235486</v>
      </c>
      <c r="L3" s="2">
        <v>5.2628345460269068E-7</v>
      </c>
      <c r="M3" s="2">
        <v>3.008143276930565E-5</v>
      </c>
      <c r="N3" s="2">
        <v>164.75588953670021</v>
      </c>
      <c r="O3" s="2">
        <v>3512.2283582808141</v>
      </c>
      <c r="P3" s="2">
        <v>5.0818836184765501E-2</v>
      </c>
      <c r="Q3" s="2">
        <v>9.8901225400533748E-5</v>
      </c>
      <c r="R3" s="2">
        <v>4.2466635783654927E-5</v>
      </c>
      <c r="S3" s="2">
        <v>4.6424024351907596</v>
      </c>
      <c r="T3" s="2">
        <v>413.92405210057251</v>
      </c>
    </row>
    <row r="4" spans="1:20" s="2" customFormat="1" x14ac:dyDescent="0.3">
      <c r="A4" s="2" t="s">
        <v>19</v>
      </c>
      <c r="B4" s="2">
        <v>1</v>
      </c>
      <c r="C4" s="2" t="s">
        <v>1</v>
      </c>
      <c r="D4" s="2" t="s">
        <v>15</v>
      </c>
      <c r="E4" s="2">
        <v>15.6552026089047</v>
      </c>
      <c r="F4" s="2">
        <v>2.8637318481659901E-2</v>
      </c>
      <c r="G4" s="2">
        <v>482.85626812734762</v>
      </c>
      <c r="H4" s="2">
        <v>131.05992921222199</v>
      </c>
      <c r="I4" s="2">
        <v>4.7050995996939148E-2</v>
      </c>
      <c r="J4" s="2">
        <v>5.3888090928549039E-3</v>
      </c>
      <c r="K4" s="2">
        <v>4.3458646409280386E-3</v>
      </c>
      <c r="L4" s="2">
        <v>1.276104989722871E-9</v>
      </c>
      <c r="M4" s="2">
        <v>5.5658515221395629E-8</v>
      </c>
      <c r="N4" s="2">
        <v>4.1375027643871647</v>
      </c>
      <c r="O4" s="2">
        <v>27.9213325775602</v>
      </c>
      <c r="P4" s="2">
        <v>8.0258110363216493E-5</v>
      </c>
      <c r="Q4" s="2">
        <v>8.7849802487074377E-8</v>
      </c>
      <c r="R4" s="2">
        <v>1.5299587596317699E-7</v>
      </c>
      <c r="S4" s="2">
        <v>2.0361655988476921E-2</v>
      </c>
      <c r="T4" s="2">
        <v>5.5290146349838576</v>
      </c>
    </row>
    <row r="5" spans="1:20" s="2" customFormat="1" x14ac:dyDescent="0.3">
      <c r="A5" s="2" t="s">
        <v>11</v>
      </c>
      <c r="B5" s="2">
        <v>1</v>
      </c>
      <c r="C5" s="2" t="s">
        <v>3</v>
      </c>
      <c r="D5" s="2" t="s">
        <v>15</v>
      </c>
      <c r="E5" s="2">
        <v>7.1230866786234959</v>
      </c>
      <c r="F5" s="2">
        <v>4.7945953610368353E-2</v>
      </c>
      <c r="G5" s="2">
        <v>92.094410240314062</v>
      </c>
      <c r="H5" s="2">
        <v>83.062415513811629</v>
      </c>
      <c r="I5" s="2">
        <v>8.0646078343321131E-2</v>
      </c>
      <c r="J5" s="2">
        <v>9.3857353764914414E-3</v>
      </c>
      <c r="K5" s="2">
        <v>4.8140390162469196E-3</v>
      </c>
      <c r="L5" s="2">
        <v>6.6929031976683926E-9</v>
      </c>
      <c r="M5" s="2">
        <v>2.4227559028396871E-7</v>
      </c>
      <c r="N5" s="2">
        <v>0.51799649867817699</v>
      </c>
      <c r="O5" s="2">
        <v>30.733923708912279</v>
      </c>
      <c r="P5" s="2">
        <v>6.5740651177643723E-4</v>
      </c>
      <c r="Q5" s="2">
        <v>1.4828998565383811E-7</v>
      </c>
      <c r="R5" s="2">
        <v>5.4096126141323886E-7</v>
      </c>
      <c r="S5" s="2">
        <v>3.0916712457287721E-2</v>
      </c>
      <c r="T5" s="2">
        <v>2.440227470339539</v>
      </c>
    </row>
    <row r="6" spans="1:20" s="2" customFormat="1" x14ac:dyDescent="0.3">
      <c r="A6" s="2" t="s">
        <v>5</v>
      </c>
      <c r="B6" s="2">
        <v>1</v>
      </c>
      <c r="C6" s="2" t="s">
        <v>2</v>
      </c>
      <c r="D6" s="2" t="s">
        <v>14</v>
      </c>
      <c r="E6" s="2">
        <v>134.86573343620219</v>
      </c>
      <c r="F6" s="2">
        <v>1.6553831087450399</v>
      </c>
      <c r="G6" s="2">
        <v>1675.9184153239471</v>
      </c>
      <c r="H6" s="2">
        <v>1804.993719053841</v>
      </c>
      <c r="I6" s="2">
        <v>2.3179484963288828</v>
      </c>
      <c r="J6" s="2">
        <v>0.18947530523594189</v>
      </c>
      <c r="K6" s="2">
        <v>9.1293972324796274E-2</v>
      </c>
      <c r="L6" s="2">
        <v>1.356768628668419E-7</v>
      </c>
      <c r="M6" s="2">
        <v>7.9289444688856369E-6</v>
      </c>
      <c r="N6" s="2">
        <v>15.24257375881699</v>
      </c>
      <c r="O6" s="2">
        <v>758.76008886584737</v>
      </c>
      <c r="P6" s="2">
        <v>1.5324726210853901E-2</v>
      </c>
      <c r="Q6" s="2">
        <v>2.2059192107157551E-6</v>
      </c>
      <c r="R6" s="2">
        <v>1.222911212856794E-5</v>
      </c>
      <c r="S6" s="2">
        <v>0.61128068834617588</v>
      </c>
      <c r="T6" s="2">
        <v>175.69897791287289</v>
      </c>
    </row>
    <row r="7" spans="1:20" s="2" customFormat="1" x14ac:dyDescent="0.3">
      <c r="A7" s="2" t="s">
        <v>12</v>
      </c>
      <c r="B7" s="2">
        <v>1</v>
      </c>
      <c r="C7" s="2" t="s">
        <v>3</v>
      </c>
      <c r="D7" s="2" t="s">
        <v>15</v>
      </c>
      <c r="E7" s="2">
        <v>6.9037461132018922</v>
      </c>
      <c r="F7" s="2">
        <v>4.6516215407087641E-2</v>
      </c>
      <c r="G7" s="2">
        <v>97.337115753201104</v>
      </c>
      <c r="H7" s="2">
        <v>80.838968132356257</v>
      </c>
      <c r="I7" s="2">
        <v>7.7851167357223389E-2</v>
      </c>
      <c r="J7" s="2">
        <v>7.4051566488617122E-3</v>
      </c>
      <c r="K7" s="2">
        <v>3.3735954009966509E-3</v>
      </c>
      <c r="L7" s="2">
        <v>7.3947699899181743E-9</v>
      </c>
      <c r="M7" s="2">
        <v>1.4968776318957111E-7</v>
      </c>
      <c r="N7" s="2">
        <v>0.41306142481996427</v>
      </c>
      <c r="O7" s="2">
        <v>24.85012333342317</v>
      </c>
      <c r="P7" s="2">
        <v>2.9898229075042769E-4</v>
      </c>
      <c r="Q7" s="2">
        <v>1.120089332464192E-7</v>
      </c>
      <c r="R7" s="2">
        <v>5.3441411143575267E-7</v>
      </c>
      <c r="S7" s="2">
        <v>3.050675189832806E-2</v>
      </c>
      <c r="T7" s="2">
        <v>2.252415854738627</v>
      </c>
    </row>
    <row r="8" spans="1:20" s="2" customFormat="1" x14ac:dyDescent="0.3">
      <c r="A8" s="2" t="s">
        <v>6</v>
      </c>
      <c r="B8" s="2">
        <v>1</v>
      </c>
      <c r="C8" s="2" t="s">
        <v>4</v>
      </c>
      <c r="D8" s="2" t="s">
        <v>14</v>
      </c>
      <c r="E8" s="2">
        <v>0.76589924834373246</v>
      </c>
      <c r="F8" s="2">
        <v>3.9277699830332106E-3</v>
      </c>
      <c r="G8" s="2">
        <v>1.366994114109841</v>
      </c>
      <c r="H8" s="2">
        <v>39.441149303003172</v>
      </c>
      <c r="I8" s="2">
        <v>5.6371472546246758E-3</v>
      </c>
      <c r="J8" s="2">
        <v>5.3240744127225565E-4</v>
      </c>
      <c r="K8" s="2">
        <v>3.8218937882215222E-5</v>
      </c>
      <c r="L8" s="2">
        <v>1.451752349217047E-10</v>
      </c>
      <c r="M8" s="2">
        <v>3.8709087756858302E-9</v>
      </c>
      <c r="N8" s="2">
        <v>1.2736418477988169E-2</v>
      </c>
      <c r="O8" s="2">
        <v>2.1364588980248032</v>
      </c>
      <c r="P8" s="2">
        <v>5.3922158977668075E-7</v>
      </c>
      <c r="Q8" s="2">
        <v>6.7934789926606182E-8</v>
      </c>
      <c r="R8" s="2">
        <v>3.5896182097312443E-8</v>
      </c>
      <c r="S8" s="2">
        <v>6.3413983322238628E-3</v>
      </c>
      <c r="T8" s="2">
        <v>5.656247211406424E-2</v>
      </c>
    </row>
    <row r="9" spans="1:20" s="2" customFormat="1" x14ac:dyDescent="0.3">
      <c r="A9" s="2" t="s">
        <v>13</v>
      </c>
      <c r="B9" s="2">
        <v>1</v>
      </c>
      <c r="C9" s="2" t="s">
        <v>3</v>
      </c>
      <c r="D9" s="2" t="s">
        <v>15</v>
      </c>
      <c r="E9" s="2">
        <v>6.7750226364388686</v>
      </c>
      <c r="F9" s="2">
        <v>4.4305973078284731E-2</v>
      </c>
      <c r="G9" s="2">
        <v>91.762018377267282</v>
      </c>
      <c r="H9" s="2">
        <v>79.370694505361456</v>
      </c>
      <c r="I9" s="2">
        <v>7.5467075888341131E-2</v>
      </c>
      <c r="J9" s="2">
        <v>7.2049063242863266E-3</v>
      </c>
      <c r="K9" s="2">
        <v>3.3482708540867648E-3</v>
      </c>
      <c r="L9" s="2">
        <v>7.0725807391071954E-9</v>
      </c>
      <c r="M9" s="2">
        <v>1.4718761325945919E-7</v>
      </c>
      <c r="N9" s="2">
        <v>0.41209340899215868</v>
      </c>
      <c r="O9" s="2">
        <v>24.633943885185602</v>
      </c>
      <c r="P9" s="2">
        <v>3.0401414554664252E-4</v>
      </c>
      <c r="Q9" s="2">
        <v>1.1300685593996311E-7</v>
      </c>
      <c r="R9" s="2">
        <v>5.222875192078117E-7</v>
      </c>
      <c r="S9" s="2">
        <v>2.9733535307295021E-2</v>
      </c>
      <c r="T9" s="2">
        <v>2.2249356294375571</v>
      </c>
    </row>
    <row r="10" spans="1:20" s="2" customFormat="1" x14ac:dyDescent="0.3">
      <c r="A10" s="2" t="s">
        <v>7</v>
      </c>
      <c r="B10" s="2">
        <v>1</v>
      </c>
      <c r="C10" s="2" t="s">
        <v>4</v>
      </c>
      <c r="D10" s="2" t="s">
        <v>14</v>
      </c>
      <c r="E10" s="2">
        <v>0.59671761841565851</v>
      </c>
      <c r="F10" s="2">
        <v>3.4084800209457102E-3</v>
      </c>
      <c r="G10" s="2">
        <v>1.147618724609659</v>
      </c>
      <c r="H10" s="2">
        <v>31.815511777380362</v>
      </c>
      <c r="I10" s="2">
        <v>6.1551289294240414E-3</v>
      </c>
      <c r="J10" s="2">
        <v>5.7001824807685262E-4</v>
      </c>
      <c r="K10" s="2">
        <v>2.4879527157055391E-5</v>
      </c>
      <c r="L10" s="2">
        <v>1.003550016214234E-10</v>
      </c>
      <c r="M10" s="2">
        <v>2.8028239325573542E-9</v>
      </c>
      <c r="N10" s="2">
        <v>7.1365674927565204E-3</v>
      </c>
      <c r="O10" s="2">
        <v>1.7797963639972869</v>
      </c>
      <c r="P10" s="2">
        <v>3.5587931536870961E-7</v>
      </c>
      <c r="Q10" s="2">
        <v>4.2092566405417602E-8</v>
      </c>
      <c r="R10" s="2">
        <v>2.684992595758215E-8</v>
      </c>
      <c r="S10" s="2">
        <v>5.5196666926486991E-3</v>
      </c>
      <c r="T10" s="2">
        <v>4.8036186069999112E-2</v>
      </c>
    </row>
    <row r="11" spans="1:20" s="2" customFormat="1" x14ac:dyDescent="0.3">
      <c r="A11" s="2" t="s">
        <v>8</v>
      </c>
      <c r="B11" s="2">
        <v>1</v>
      </c>
      <c r="C11" s="2" t="s">
        <v>4</v>
      </c>
      <c r="D11" s="2" t="s">
        <v>14</v>
      </c>
      <c r="E11" s="2">
        <v>0.81881736405195293</v>
      </c>
      <c r="F11" s="2">
        <v>3.6381223886361828E-3</v>
      </c>
      <c r="G11" s="2">
        <v>1.5395587079082591</v>
      </c>
      <c r="H11" s="2">
        <v>46.324991530690042</v>
      </c>
      <c r="I11" s="2">
        <v>5.9626389581179298E-3</v>
      </c>
      <c r="J11" s="2">
        <v>5.6589715152632696E-4</v>
      </c>
      <c r="K11" s="2">
        <v>3.6911215780142397E-5</v>
      </c>
      <c r="L11" s="2">
        <v>1.2581301470909559E-10</v>
      </c>
      <c r="M11" s="2">
        <v>3.9012595253403543E-9</v>
      </c>
      <c r="N11" s="2">
        <v>1.3820878323629691E-2</v>
      </c>
      <c r="O11" s="2">
        <v>2.373158551845199</v>
      </c>
      <c r="P11" s="2">
        <v>5.3287353435950189E-7</v>
      </c>
      <c r="Q11" s="2">
        <v>7.9180427967236927E-8</v>
      </c>
      <c r="R11" s="2">
        <v>3.2399207371738442E-8</v>
      </c>
      <c r="S11" s="2">
        <v>7.2052987241651616E-3</v>
      </c>
      <c r="T11" s="2">
        <v>6.3097592025536081E-2</v>
      </c>
    </row>
    <row r="12" spans="1:20" s="2" customFormat="1" x14ac:dyDescent="0.3">
      <c r="A12" s="2" t="s">
        <v>9</v>
      </c>
      <c r="B12" s="2">
        <v>1</v>
      </c>
      <c r="C12" s="2" t="s">
        <v>3</v>
      </c>
      <c r="D12" s="2" t="s">
        <v>16</v>
      </c>
      <c r="E12" s="2">
        <v>0.6820279647743277</v>
      </c>
      <c r="F12" s="2">
        <v>2.3710969493075532E-3</v>
      </c>
      <c r="G12" s="2">
        <v>1.3220161303226139</v>
      </c>
      <c r="H12" s="2">
        <v>56.331486178681153</v>
      </c>
      <c r="I12" s="2">
        <v>7.2168081601875541E-3</v>
      </c>
      <c r="J12" s="2">
        <v>6.9916789513225477E-4</v>
      </c>
      <c r="K12" s="2">
        <v>6.1251697694413379E-5</v>
      </c>
      <c r="L12" s="2">
        <v>3.5830989844895141E-10</v>
      </c>
      <c r="M12" s="2">
        <v>2.965279968513489E-9</v>
      </c>
      <c r="N12" s="2">
        <v>1.6680233760329548E-2</v>
      </c>
      <c r="O12" s="2">
        <v>0.76472114240207134</v>
      </c>
      <c r="P12" s="2">
        <v>1.6716537103651339E-6</v>
      </c>
      <c r="Q12" s="2">
        <v>1.477509807744168E-7</v>
      </c>
      <c r="R12" s="2">
        <v>1.149168699309701E-8</v>
      </c>
      <c r="S12" s="2">
        <v>4.4888542874186596E-3</v>
      </c>
      <c r="T12" s="2">
        <v>8.1441078651618357E-2</v>
      </c>
    </row>
    <row r="13" spans="1:20" s="2" customFormat="1" x14ac:dyDescent="0.3">
      <c r="A13" s="2" t="s">
        <v>20</v>
      </c>
      <c r="B13" s="2">
        <v>1</v>
      </c>
      <c r="C13" s="2" t="s">
        <v>3</v>
      </c>
      <c r="D13" s="2" t="s">
        <v>14</v>
      </c>
      <c r="E13" s="2">
        <v>6.96</v>
      </c>
      <c r="F13" s="2">
        <f>[1]Sheet1!J15/3</f>
        <v>5.0453988131178261E-2</v>
      </c>
      <c r="G13" s="2">
        <f>[1]Sheet1!K15/3</f>
        <v>106.3195355176681</v>
      </c>
      <c r="H13" s="2">
        <f>[1]Sheet1!L15/3</f>
        <v>81.081052297375052</v>
      </c>
      <c r="I13" s="2">
        <v>7.3533884107436595E-2</v>
      </c>
      <c r="J13" s="2">
        <f>[1]Sheet1!N15/3</f>
        <v>7.6446096793981984E-3</v>
      </c>
      <c r="K13" s="2">
        <v>4.1550516735976767E-3</v>
      </c>
      <c r="L13" s="2">
        <f>[1]Sheet1!P15/3</f>
        <v>2.2671642493562159E-8</v>
      </c>
      <c r="M13" s="2">
        <v>3.0296407757606274E-7</v>
      </c>
      <c r="N13" s="2">
        <v>0.51687737607127215</v>
      </c>
      <c r="O13" s="2">
        <v>29.061133489651155</v>
      </c>
      <c r="P13" s="2">
        <v>6.7103148360926591E-4</v>
      </c>
      <c r="Q13" s="2">
        <v>2.1727142260034755E-7</v>
      </c>
      <c r="R13" s="2">
        <v>5.8145018093707941E-7</v>
      </c>
      <c r="S13" s="2">
        <v>2.9376436548713206E-2</v>
      </c>
      <c r="T13" s="2">
        <v>3.21684179996616</v>
      </c>
    </row>
    <row r="14" spans="1:20" s="2" customFormat="1" x14ac:dyDescent="0.3">
      <c r="A14" s="2" t="s">
        <v>74</v>
      </c>
      <c r="B14" s="2">
        <v>1</v>
      </c>
      <c r="C14" s="2" t="s">
        <v>21</v>
      </c>
      <c r="D14" s="2" t="s">
        <v>16</v>
      </c>
      <c r="E14" s="2">
        <v>9.0999999999999998E-2</v>
      </c>
      <c r="F14" s="2">
        <v>6.1457478627674727E-4</v>
      </c>
      <c r="G14" s="2">
        <v>0.70719242193851539</v>
      </c>
      <c r="H14" s="2">
        <v>8.8971339342802338</v>
      </c>
      <c r="I14" s="2">
        <v>5.1128629629220468E-5</v>
      </c>
      <c r="J14" s="2">
        <v>1.3151583181116391E-4</v>
      </c>
      <c r="K14" s="2">
        <v>1.235044528859574E-3</v>
      </c>
      <c r="L14" s="2">
        <v>2.6949673470658931E-11</v>
      </c>
      <c r="M14" s="2">
        <v>8.3678060340796227E-10</v>
      </c>
      <c r="N14" s="2">
        <v>0.33954365741275738</v>
      </c>
      <c r="O14" s="2">
        <v>0.55018808324202206</v>
      </c>
      <c r="P14" s="2">
        <v>4.1949595085392904E-6</v>
      </c>
      <c r="Q14" s="2">
        <v>6.6219897744621524E-9</v>
      </c>
      <c r="R14" s="2">
        <v>4.2805080802621826E-9</v>
      </c>
      <c r="S14" s="2">
        <v>4.3356017003982422E-4</v>
      </c>
      <c r="T14" s="2">
        <v>9.0461558556250155E-2</v>
      </c>
    </row>
    <row r="15" spans="1:20" s="2" customFormat="1" x14ac:dyDescent="0.3">
      <c r="A15" s="2" t="s">
        <v>22</v>
      </c>
      <c r="B15" s="2">
        <v>1</v>
      </c>
      <c r="C15" s="2" t="s">
        <v>21</v>
      </c>
      <c r="D15" s="2" t="s">
        <v>14</v>
      </c>
      <c r="E15" s="2">
        <v>1.9E-2</v>
      </c>
      <c r="F15" s="2">
        <f>SUM([2]Sheet1!J2:J20)</f>
        <v>1.8195947274935893E-4</v>
      </c>
      <c r="G15" s="2">
        <f>SUM([2]Sheet1!K2:K20)</f>
        <v>0.24816795300161015</v>
      </c>
      <c r="H15" s="2">
        <f>SUM([2]Sheet1!L2:L20)</f>
        <v>1.9294586274538301</v>
      </c>
      <c r="I15" s="2">
        <f>SUM([2]Sheet1!O2:O20)</f>
        <v>4.2039857450920984E-4</v>
      </c>
      <c r="J15" s="2">
        <f>SUM([2]Sheet1!N2:N20)</f>
        <v>4.4481723348059466E-5</v>
      </c>
      <c r="K15" s="2">
        <v>1.0413119857700745E-5</v>
      </c>
      <c r="L15" s="2">
        <f>SUM([2]Sheet1!P2:P20)</f>
        <v>3.0304784048073182E-11</v>
      </c>
      <c r="M15" s="2">
        <f>SUM([2]Sheet1!Q2:Q20)</f>
        <v>1.3694897975302225E-9</v>
      </c>
      <c r="N15" s="2">
        <f>SUM([2]Sheet1!R2:R20)</f>
        <v>9.1004948631061205E-2</v>
      </c>
      <c r="O15" s="2">
        <f>SUM([2]Sheet1!S2:S20)</f>
        <v>0.65188485987035494</v>
      </c>
      <c r="P15" s="2">
        <f>SUM([2]Sheet1!T2:T20)</f>
        <v>1.0608869745042542E-6</v>
      </c>
      <c r="Q15" s="2">
        <f>SUM([2]Sheet1!U2:U20)</f>
        <v>1.6447184544697991E-9</v>
      </c>
      <c r="R15" s="2">
        <f>SUM([2]Sheet1!V2:V20)</f>
        <v>2.2625278693068254E-9</v>
      </c>
      <c r="S15" s="2">
        <f>SUM([2]Sheet1!W2:W20)</f>
        <v>1.1244389111912261E-4</v>
      </c>
      <c r="T15" s="2">
        <f>SUM([2]Sheet1!X2:X20)</f>
        <v>3.8780942673036015E-2</v>
      </c>
    </row>
    <row r="16" spans="1:20" s="2" customFormat="1" x14ac:dyDescent="0.3">
      <c r="A16" s="2" t="s">
        <v>24</v>
      </c>
      <c r="B16" s="2">
        <v>1</v>
      </c>
      <c r="C16" s="2" t="s">
        <v>3</v>
      </c>
      <c r="D16" s="2" t="s">
        <v>14</v>
      </c>
      <c r="E16" s="2">
        <v>8.5798260000000006</v>
      </c>
      <c r="F16" s="2">
        <v>6.0746460965283126E-2</v>
      </c>
      <c r="G16" s="2">
        <v>111.00874128828377</v>
      </c>
      <c r="H16" s="2">
        <v>120.79569781021812</v>
      </c>
      <c r="I16" s="2">
        <v>0.11924146294873247</v>
      </c>
      <c r="J16" s="2">
        <v>1.2147661161257669E-2</v>
      </c>
      <c r="K16" s="2">
        <v>0.20500097094367581</v>
      </c>
      <c r="L16" s="2">
        <v>2.2585343051369918E-8</v>
      </c>
      <c r="M16" s="2">
        <v>3.1031256832955567E-7</v>
      </c>
      <c r="N16" s="2">
        <v>0.9128027184569496</v>
      </c>
      <c r="O16" s="2">
        <v>31.263994167974197</v>
      </c>
      <c r="P16" s="2">
        <v>6.6867408507032434E-4</v>
      </c>
      <c r="Q16" s="2">
        <v>2.6516344504830722E-7</v>
      </c>
      <c r="R16" s="2">
        <v>6.5192447226899786E-7</v>
      </c>
      <c r="S16" s="2">
        <v>3.6630718706406142E-2</v>
      </c>
      <c r="T16" s="2">
        <v>4.0104985149864474</v>
      </c>
    </row>
    <row r="17" spans="1:22" s="2" customFormat="1" x14ac:dyDescent="0.3">
      <c r="A17" s="2" t="s">
        <v>25</v>
      </c>
      <c r="B17" s="2">
        <v>1</v>
      </c>
      <c r="C17" s="2" t="s">
        <v>3</v>
      </c>
      <c r="D17" s="2" t="s">
        <v>14</v>
      </c>
      <c r="E17" s="2">
        <v>9.8383694494770069</v>
      </c>
      <c r="F17" s="2">
        <v>3.6467694669332432E-3</v>
      </c>
      <c r="G17" s="2">
        <v>2.8558015818181981</v>
      </c>
      <c r="H17" s="2">
        <v>167.06052838358141</v>
      </c>
      <c r="I17" s="2">
        <v>1.066930127245613E-2</v>
      </c>
      <c r="J17" s="2">
        <v>9.7375001395190864E-4</v>
      </c>
      <c r="K17" s="2">
        <v>1.5024682724210911E-4</v>
      </c>
      <c r="L17" s="2">
        <v>1.1907686613689159E-9</v>
      </c>
      <c r="M17" s="2">
        <v>1.5868348169652519E-8</v>
      </c>
      <c r="N17" s="2">
        <v>3.6585814126100923E-2</v>
      </c>
      <c r="O17" s="2">
        <v>2.1700237769447241</v>
      </c>
      <c r="P17" s="2">
        <v>1.496677724848821E-5</v>
      </c>
      <c r="Q17" s="2">
        <v>5.7005519566974064E-7</v>
      </c>
      <c r="R17" s="2">
        <v>2.4272136446010999E-8</v>
      </c>
      <c r="S17" s="2">
        <v>6.1062927276691022E-3</v>
      </c>
      <c r="T17" s="2">
        <v>0.54315536049582447</v>
      </c>
    </row>
    <row r="18" spans="1:22" s="2" customFormat="1" x14ac:dyDescent="0.3">
      <c r="A18" s="2" t="s">
        <v>26</v>
      </c>
      <c r="B18" s="2">
        <v>1</v>
      </c>
      <c r="C18" s="2" t="s">
        <v>3</v>
      </c>
      <c r="D18" s="2" t="s">
        <v>14</v>
      </c>
      <c r="E18" s="2">
        <v>1.840575388219756</v>
      </c>
      <c r="F18" s="2">
        <v>1.4667788925174081E-2</v>
      </c>
      <c r="G18" s="2">
        <v>22.757669594229451</v>
      </c>
      <c r="H18" s="2">
        <v>21.905743140338391</v>
      </c>
      <c r="I18" s="2">
        <v>2.1730103715087809E-2</v>
      </c>
      <c r="J18" s="2">
        <v>2.0587346817294671E-3</v>
      </c>
      <c r="K18" s="2">
        <v>8.1558121209404004E-4</v>
      </c>
      <c r="L18" s="2">
        <v>3.5602347554056432E-8</v>
      </c>
      <c r="M18" s="2">
        <v>5.426077511286529E-8</v>
      </c>
      <c r="N18" s="2">
        <v>0.1269018657316246</v>
      </c>
      <c r="O18" s="2">
        <v>167.31774969545219</v>
      </c>
      <c r="P18" s="2">
        <v>6.3267454942440642E-5</v>
      </c>
      <c r="Q18" s="2">
        <v>1.5560531510526931E-7</v>
      </c>
      <c r="R18" s="2">
        <v>1.5996440761020861E-7</v>
      </c>
      <c r="S18" s="2">
        <v>7.7234869032242141E-3</v>
      </c>
      <c r="T18" s="2">
        <v>1.8355167734903679</v>
      </c>
    </row>
    <row r="19" spans="1:22" s="2" customFormat="1" x14ac:dyDescent="0.3">
      <c r="A19" s="2" t="s">
        <v>23</v>
      </c>
      <c r="B19" s="2">
        <v>1</v>
      </c>
      <c r="C19" s="2" t="s">
        <v>0</v>
      </c>
      <c r="D19" s="2" t="s">
        <v>14</v>
      </c>
      <c r="E19" s="2">
        <v>207.22699344747369</v>
      </c>
      <c r="F19" s="2">
        <v>13.289781455550781</v>
      </c>
      <c r="G19" s="2">
        <v>4764.0012636479714</v>
      </c>
      <c r="H19" s="2">
        <v>3147.8559832717679</v>
      </c>
      <c r="I19" s="2">
        <v>14.84156684492473</v>
      </c>
      <c r="J19" s="2">
        <v>0.97468514495475578</v>
      </c>
      <c r="K19" s="2">
        <v>0.20500097094367581</v>
      </c>
      <c r="L19" s="2">
        <v>1.027144040225744E-6</v>
      </c>
      <c r="M19" s="2">
        <v>4.8943012322606584E-6</v>
      </c>
      <c r="N19" s="2">
        <v>19.783998821087149</v>
      </c>
      <c r="O19" s="2">
        <v>1851.081630880783</v>
      </c>
      <c r="P19" s="2">
        <v>1.256503477732264E-2</v>
      </c>
      <c r="Q19" s="2">
        <v>5.8123391879312047E-5</v>
      </c>
      <c r="R19" s="2">
        <v>3.8775921890306627E-5</v>
      </c>
      <c r="S19" s="2">
        <v>3.7287440582291609</v>
      </c>
      <c r="T19" s="2">
        <v>116.228145054499</v>
      </c>
    </row>
    <row r="20" spans="1:22" x14ac:dyDescent="0.3">
      <c r="A20" s="35" t="s">
        <v>118</v>
      </c>
      <c r="B20" s="2">
        <v>1</v>
      </c>
      <c r="C20" s="2" t="s">
        <v>3</v>
      </c>
      <c r="D20" s="2" t="s">
        <v>14</v>
      </c>
      <c r="E20" s="2">
        <v>0</v>
      </c>
      <c r="F20" s="2">
        <v>-4.6635996822953267E-2</v>
      </c>
      <c r="G20" s="2">
        <v>-881.35460438045925</v>
      </c>
      <c r="H20" s="2">
        <v>-881.35046762429397</v>
      </c>
      <c r="I20" s="2">
        <v>-4.1367561653779528E-3</v>
      </c>
      <c r="J20" s="2">
        <v>0</v>
      </c>
      <c r="K20" s="2">
        <v>-7.016642740788559E-3</v>
      </c>
      <c r="L20" s="2">
        <v>-6.215999932974569E-5</v>
      </c>
      <c r="M20" s="2">
        <v>0</v>
      </c>
      <c r="N20" s="2">
        <v>-5.6421028569052207E-8</v>
      </c>
      <c r="O20" s="2">
        <v>-2.294189675815847E-5</v>
      </c>
      <c r="P20" s="2">
        <v>0</v>
      </c>
      <c r="Q20" s="2">
        <v>0</v>
      </c>
      <c r="R20" s="57">
        <v>-1.256627216299778E-4</v>
      </c>
      <c r="S20" s="57">
        <v>-2.8871599981749041E-3</v>
      </c>
      <c r="T20" s="2">
        <v>-1.256627216299778E-4</v>
      </c>
      <c r="U20" s="2">
        <v>-2.8871599981749041E-3</v>
      </c>
      <c r="V20" s="2">
        <v>0</v>
      </c>
    </row>
    <row r="21" spans="1:22" x14ac:dyDescent="0.3">
      <c r="A21" s="35" t="s">
        <v>119</v>
      </c>
      <c r="B21" s="2">
        <v>1</v>
      </c>
      <c r="C21" s="2" t="s">
        <v>3</v>
      </c>
      <c r="D21" s="2" t="s">
        <v>14</v>
      </c>
      <c r="E21" s="2">
        <v>0</v>
      </c>
      <c r="F21" s="2">
        <v>-6.405899696572126E-4</v>
      </c>
      <c r="G21" s="2">
        <v>-36.370534160283107</v>
      </c>
      <c r="H21" s="2">
        <v>-35.597807087931578</v>
      </c>
      <c r="I21" s="2">
        <v>-0.77272707235152915</v>
      </c>
      <c r="J21" s="2">
        <v>0</v>
      </c>
      <c r="K21" s="2">
        <v>-1.0524964663104969E-3</v>
      </c>
      <c r="L21" s="2">
        <v>-2.895639982971027E-4</v>
      </c>
      <c r="M21" s="2">
        <v>0</v>
      </c>
      <c r="N21" s="2">
        <v>-2.8286208082438391E-9</v>
      </c>
      <c r="O21" s="2">
        <v>-1.2676540907787611E-6</v>
      </c>
      <c r="P21" s="2">
        <v>0</v>
      </c>
      <c r="Q21" s="2">
        <v>0</v>
      </c>
      <c r="R21" s="57">
        <v>-1.3054947063404359E-5</v>
      </c>
      <c r="S21" s="57">
        <v>-3.9657900798125562E-5</v>
      </c>
      <c r="T21" s="2">
        <v>-1.3054947063404359E-5</v>
      </c>
      <c r="U21" s="2">
        <v>-3.9657900798125562E-5</v>
      </c>
      <c r="V21" s="2">
        <v>0</v>
      </c>
    </row>
    <row r="28" spans="1:22" x14ac:dyDescent="0.3">
      <c r="A28" t="s">
        <v>79</v>
      </c>
    </row>
    <row r="29" spans="1:22" x14ac:dyDescent="0.3">
      <c r="A29" t="s">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ACA5F-E072-417D-8DE7-0C8FAD7D83DE}">
  <dimension ref="A1:R92"/>
  <sheetViews>
    <sheetView zoomScale="70" zoomScaleNormal="70" workbookViewId="0">
      <selection activeCell="D2" sqref="D2:D34"/>
    </sheetView>
  </sheetViews>
  <sheetFormatPr baseColWidth="10" defaultColWidth="8.88671875" defaultRowHeight="14.4" x14ac:dyDescent="0.3"/>
  <cols>
    <col min="1" max="1" width="51.6640625" customWidth="1"/>
    <col min="2" max="2" width="22.44140625" customWidth="1"/>
    <col min="3" max="4" width="27.21875" customWidth="1"/>
    <col min="5" max="5" width="26.77734375" bestFit="1" customWidth="1"/>
    <col min="6" max="6" width="20.44140625" bestFit="1" customWidth="1"/>
    <col min="7" max="7" width="31.77734375" bestFit="1" customWidth="1"/>
    <col min="8" max="8" width="23.5546875" bestFit="1" customWidth="1"/>
    <col min="9" max="9" width="21.109375" bestFit="1" customWidth="1"/>
    <col min="10" max="10" width="24.44140625" bestFit="1" customWidth="1"/>
    <col min="11" max="11" width="26.88671875" bestFit="1" customWidth="1"/>
    <col min="12" max="12" width="31.109375" bestFit="1" customWidth="1"/>
    <col min="13" max="13" width="16.109375" bestFit="1" customWidth="1"/>
    <col min="14" max="14" width="20.21875" bestFit="1" customWidth="1"/>
    <col min="15" max="15" width="33" bestFit="1" customWidth="1"/>
    <col min="16" max="16" width="15.5546875" bestFit="1" customWidth="1"/>
    <col min="17" max="17" width="26.109375" bestFit="1" customWidth="1"/>
    <col min="18" max="18" width="30.44140625" bestFit="1" customWidth="1"/>
    <col min="19" max="19" width="9.88671875" bestFit="1" customWidth="1"/>
  </cols>
  <sheetData>
    <row r="1" spans="1:18" x14ac:dyDescent="0.3">
      <c r="B1" s="4" t="s">
        <v>32</v>
      </c>
      <c r="C1" s="4"/>
      <c r="D1" s="4" t="s">
        <v>76</v>
      </c>
      <c r="E1" s="4" t="s">
        <v>76</v>
      </c>
      <c r="F1" s="4" t="s">
        <v>76</v>
      </c>
      <c r="G1" s="4" t="s">
        <v>31</v>
      </c>
      <c r="H1" s="4" t="s">
        <v>33</v>
      </c>
      <c r="I1" s="4" t="s">
        <v>47</v>
      </c>
      <c r="J1" s="4" t="s">
        <v>34</v>
      </c>
      <c r="K1" s="4" t="s">
        <v>46</v>
      </c>
      <c r="L1" s="4" t="s">
        <v>35</v>
      </c>
      <c r="M1" s="4" t="s">
        <v>17</v>
      </c>
      <c r="N1" s="4" t="s">
        <v>45</v>
      </c>
      <c r="O1" s="4" t="s">
        <v>18</v>
      </c>
      <c r="P1" s="35" t="s">
        <v>120</v>
      </c>
      <c r="Q1" s="35" t="s">
        <v>121</v>
      </c>
    </row>
    <row r="2" spans="1:18" x14ac:dyDescent="0.3">
      <c r="A2" s="6" t="s">
        <v>67</v>
      </c>
      <c r="B2" s="43" t="s">
        <v>127</v>
      </c>
      <c r="C2" s="2"/>
      <c r="D2" s="40" t="s">
        <v>75</v>
      </c>
      <c r="E2" s="40">
        <v>200000</v>
      </c>
      <c r="F2" s="40">
        <v>260000</v>
      </c>
      <c r="G2">
        <v>1190</v>
      </c>
      <c r="H2" s="2">
        <v>0</v>
      </c>
      <c r="I2" s="2">
        <f>H2*5.6</f>
        <v>0</v>
      </c>
      <c r="J2">
        <v>5.29</v>
      </c>
      <c r="K2" s="2">
        <v>0</v>
      </c>
      <c r="L2" s="2">
        <v>0</v>
      </c>
      <c r="M2" s="5">
        <v>1.1261964E-3</v>
      </c>
      <c r="N2" s="5">
        <v>2.6542711983546598E-4</v>
      </c>
      <c r="O2" s="5">
        <v>1.0752688172043E-5</v>
      </c>
      <c r="P2" s="5">
        <v>-1.7E-5</v>
      </c>
      <c r="Q2" s="5">
        <v>-1.26E-5</v>
      </c>
      <c r="R2" s="36"/>
    </row>
    <row r="3" spans="1:18" x14ac:dyDescent="0.3">
      <c r="A3" s="7" t="s">
        <v>69</v>
      </c>
      <c r="B3" s="43"/>
      <c r="C3" s="2"/>
      <c r="D3" s="41"/>
      <c r="E3" s="41"/>
      <c r="F3" s="41"/>
      <c r="G3" s="2">
        <v>1552</v>
      </c>
      <c r="H3" s="2">
        <v>0</v>
      </c>
      <c r="I3" s="2">
        <v>0</v>
      </c>
      <c r="J3" s="2">
        <v>7.3</v>
      </c>
      <c r="K3" s="2">
        <v>0</v>
      </c>
      <c r="L3" s="2">
        <v>0</v>
      </c>
      <c r="M3" s="5">
        <v>1.1261964E-3</v>
      </c>
      <c r="N3" s="5">
        <v>2.6542711983546598E-4</v>
      </c>
      <c r="O3" s="5">
        <v>1.0752688172043E-5</v>
      </c>
      <c r="P3" s="5">
        <v>-1.9700000000000001E-5</v>
      </c>
      <c r="Q3" s="5">
        <v>-1.5299999999999999E-5</v>
      </c>
      <c r="R3" s="36"/>
    </row>
    <row r="4" spans="1:18" x14ac:dyDescent="0.3">
      <c r="A4" s="8" t="s">
        <v>68</v>
      </c>
      <c r="B4" s="43"/>
      <c r="C4" s="2"/>
      <c r="D4" s="41"/>
      <c r="E4" s="41"/>
      <c r="F4" s="41"/>
      <c r="G4" s="2">
        <v>1876</v>
      </c>
      <c r="H4" s="2">
        <v>0</v>
      </c>
      <c r="I4" s="2">
        <v>0</v>
      </c>
      <c r="J4" s="2">
        <v>8.92</v>
      </c>
      <c r="K4" s="2">
        <v>0</v>
      </c>
      <c r="L4" s="2">
        <v>0</v>
      </c>
      <c r="M4" s="5">
        <v>1.1261964E-3</v>
      </c>
      <c r="N4" s="5">
        <v>2.6542711983546598E-4</v>
      </c>
      <c r="O4" s="5">
        <v>1.0752688172043E-5</v>
      </c>
      <c r="P4" s="5">
        <v>-2.0999999999999999E-5</v>
      </c>
      <c r="Q4" s="5">
        <v>-1.6500000000000001E-5</v>
      </c>
      <c r="R4" s="36"/>
    </row>
    <row r="5" spans="1:18" x14ac:dyDescent="0.3">
      <c r="A5" s="6" t="s">
        <v>67</v>
      </c>
      <c r="B5" s="43" t="s">
        <v>37</v>
      </c>
      <c r="C5" s="2"/>
      <c r="D5" s="41"/>
      <c r="E5" s="41"/>
      <c r="F5" s="41"/>
      <c r="G5" s="7">
        <v>1270</v>
      </c>
      <c r="H5" s="2">
        <v>0</v>
      </c>
      <c r="I5" s="2">
        <f t="shared" ref="I5" si="0">H5*5.6</f>
        <v>0</v>
      </c>
      <c r="J5" s="7">
        <v>4.5</v>
      </c>
      <c r="K5" s="2">
        <v>0</v>
      </c>
      <c r="L5" s="2">
        <v>0</v>
      </c>
      <c r="M5" s="5">
        <v>1.1261964E-3</v>
      </c>
      <c r="N5" s="5">
        <v>2.6542711983546598E-4</v>
      </c>
      <c r="O5" s="5">
        <v>1.0752688172043E-5</v>
      </c>
      <c r="P5" s="5">
        <v>-1.7200000000000001E-5</v>
      </c>
      <c r="Q5" s="5">
        <v>-1.29E-5</v>
      </c>
      <c r="R5" s="36"/>
    </row>
    <row r="6" spans="1:18" x14ac:dyDescent="0.3">
      <c r="A6" s="7" t="s">
        <v>69</v>
      </c>
      <c r="B6" s="43"/>
      <c r="C6" s="2"/>
      <c r="D6" s="41"/>
      <c r="E6" s="41"/>
      <c r="F6" s="41"/>
      <c r="G6" s="2">
        <v>1583</v>
      </c>
      <c r="H6" s="2">
        <v>0</v>
      </c>
      <c r="I6" s="2">
        <v>0</v>
      </c>
      <c r="J6" s="2">
        <v>5.22</v>
      </c>
      <c r="K6" s="2">
        <v>0</v>
      </c>
      <c r="L6" s="2">
        <v>0</v>
      </c>
      <c r="M6" s="5">
        <v>1.1261964E-3</v>
      </c>
      <c r="N6" s="5">
        <v>2.6542711983546598E-4</v>
      </c>
      <c r="O6" s="5">
        <v>1.0752688172043E-5</v>
      </c>
      <c r="P6" s="5">
        <v>-1.9899999999999999E-5</v>
      </c>
      <c r="Q6" s="5">
        <v>-1.5400000000000002E-5</v>
      </c>
      <c r="R6" s="36"/>
    </row>
    <row r="7" spans="1:18" x14ac:dyDescent="0.3">
      <c r="A7" s="8" t="s">
        <v>68</v>
      </c>
      <c r="B7" s="43"/>
      <c r="C7" s="2"/>
      <c r="D7" s="41"/>
      <c r="E7" s="41"/>
      <c r="F7" s="41"/>
      <c r="G7" s="2">
        <v>1828</v>
      </c>
      <c r="H7" s="2">
        <v>0</v>
      </c>
      <c r="I7" s="2">
        <v>0</v>
      </c>
      <c r="J7" s="2">
        <v>5.96</v>
      </c>
      <c r="K7" s="2">
        <v>0</v>
      </c>
      <c r="L7" s="2">
        <v>0</v>
      </c>
      <c r="M7" s="5">
        <v>1.1261964E-3</v>
      </c>
      <c r="N7" s="5">
        <v>2.6542711983546598E-4</v>
      </c>
      <c r="O7" s="5">
        <v>1.0752688172043E-5</v>
      </c>
      <c r="P7" s="5">
        <v>-2.12E-5</v>
      </c>
      <c r="Q7" s="5">
        <v>-1.66E-5</v>
      </c>
      <c r="R7" s="36"/>
    </row>
    <row r="8" spans="1:18" x14ac:dyDescent="0.3">
      <c r="A8" s="6" t="s">
        <v>67</v>
      </c>
      <c r="B8" s="43" t="s">
        <v>38</v>
      </c>
      <c r="C8" s="2"/>
      <c r="D8" s="41"/>
      <c r="E8" s="41"/>
      <c r="F8" s="41"/>
      <c r="G8" s="2">
        <v>1256</v>
      </c>
      <c r="H8" s="2">
        <v>0</v>
      </c>
      <c r="I8" s="2">
        <v>0</v>
      </c>
      <c r="J8" s="2">
        <v>4</v>
      </c>
      <c r="K8" s="2">
        <v>0</v>
      </c>
      <c r="L8" s="2">
        <v>0</v>
      </c>
      <c r="M8" s="5">
        <v>1.1261964E-3</v>
      </c>
      <c r="N8" s="5">
        <v>2.6542711983546598E-4</v>
      </c>
      <c r="O8" s="5">
        <v>1.0752688172043E-5</v>
      </c>
      <c r="P8" s="5">
        <v>-1.6699999999999999E-5</v>
      </c>
      <c r="Q8" s="5">
        <v>-1.24E-5</v>
      </c>
      <c r="R8" s="36"/>
    </row>
    <row r="9" spans="1:18" x14ac:dyDescent="0.3">
      <c r="A9" s="7" t="s">
        <v>69</v>
      </c>
      <c r="B9" s="43"/>
      <c r="C9" s="2"/>
      <c r="D9" s="41"/>
      <c r="E9" s="41"/>
      <c r="F9" s="41"/>
      <c r="G9" s="2">
        <v>1434</v>
      </c>
      <c r="H9" s="2">
        <v>0</v>
      </c>
      <c r="I9" s="2">
        <v>0</v>
      </c>
      <c r="J9" s="2">
        <v>4.5</v>
      </c>
      <c r="K9" s="2">
        <v>0</v>
      </c>
      <c r="L9" s="2">
        <v>0</v>
      </c>
      <c r="M9" s="5">
        <v>1.1261964E-3</v>
      </c>
      <c r="N9" s="5">
        <v>2.6542711983546598E-4</v>
      </c>
      <c r="O9" s="5">
        <v>1.0752688172043E-5</v>
      </c>
      <c r="P9" s="5">
        <v>-1.9000000000000001E-5</v>
      </c>
      <c r="Q9" s="5">
        <v>-1.5E-5</v>
      </c>
      <c r="R9" s="36"/>
    </row>
    <row r="10" spans="1:18" x14ac:dyDescent="0.3">
      <c r="A10" s="8" t="s">
        <v>68</v>
      </c>
      <c r="B10" s="43"/>
      <c r="C10" s="2"/>
      <c r="D10" s="41"/>
      <c r="E10" s="41"/>
      <c r="F10" s="41"/>
      <c r="G10" s="2">
        <v>1515</v>
      </c>
      <c r="H10" s="2">
        <v>0</v>
      </c>
      <c r="I10" s="2">
        <v>0</v>
      </c>
      <c r="J10" s="2">
        <v>5</v>
      </c>
      <c r="K10" s="2">
        <v>0</v>
      </c>
      <c r="L10" s="2">
        <v>0</v>
      </c>
      <c r="M10" s="5">
        <v>1.1261964E-3</v>
      </c>
      <c r="N10" s="5">
        <v>2.6542711983546598E-4</v>
      </c>
      <c r="O10" s="5">
        <v>1.0752688172043E-5</v>
      </c>
      <c r="P10" s="5">
        <v>-4.1199999999999999E-5</v>
      </c>
      <c r="Q10" s="5">
        <v>-1.66E-5</v>
      </c>
      <c r="R10" s="36"/>
    </row>
    <row r="11" spans="1:18" x14ac:dyDescent="0.3">
      <c r="A11" s="6" t="s">
        <v>67</v>
      </c>
      <c r="B11" s="43" t="s">
        <v>39</v>
      </c>
      <c r="C11" s="2"/>
      <c r="D11" s="41"/>
      <c r="E11" s="41"/>
      <c r="F11" s="41"/>
      <c r="G11" s="2">
        <v>1165</v>
      </c>
      <c r="H11" s="2">
        <v>0</v>
      </c>
      <c r="I11" s="2">
        <v>0</v>
      </c>
      <c r="J11" s="2">
        <v>5.3</v>
      </c>
      <c r="K11" s="2">
        <v>0</v>
      </c>
      <c r="L11" s="2">
        <v>0</v>
      </c>
      <c r="M11" s="5">
        <v>1.1261964E-3</v>
      </c>
      <c r="N11" s="5">
        <v>2.6542711983546598E-4</v>
      </c>
      <c r="O11" s="5">
        <v>1.0752688172043E-5</v>
      </c>
      <c r="P11" s="5">
        <v>-1.7E-5</v>
      </c>
      <c r="Q11" s="5">
        <v>-1.26E-5</v>
      </c>
    </row>
    <row r="12" spans="1:18" x14ac:dyDescent="0.3">
      <c r="A12" s="7" t="s">
        <v>69</v>
      </c>
      <c r="B12" s="43"/>
      <c r="C12" s="2"/>
      <c r="D12" s="41"/>
      <c r="E12" s="41"/>
      <c r="F12" s="41"/>
      <c r="G12" s="2">
        <v>1503</v>
      </c>
      <c r="H12" s="2">
        <v>0</v>
      </c>
      <c r="I12" s="2">
        <v>0</v>
      </c>
      <c r="J12" s="2">
        <v>8.3000000000000007</v>
      </c>
      <c r="K12" s="2">
        <v>0</v>
      </c>
      <c r="L12" s="2">
        <v>0</v>
      </c>
      <c r="M12" s="5">
        <v>1.1261964E-3</v>
      </c>
      <c r="N12" s="5">
        <v>2.6542711983546598E-4</v>
      </c>
      <c r="O12" s="5">
        <v>1.0752688172043E-5</v>
      </c>
      <c r="P12" s="5">
        <v>-1.9700000000000001E-5</v>
      </c>
      <c r="Q12" s="5">
        <v>-1.5299999999999999E-5</v>
      </c>
    </row>
    <row r="13" spans="1:18" x14ac:dyDescent="0.3">
      <c r="A13" s="8" t="s">
        <v>68</v>
      </c>
      <c r="B13" s="43"/>
      <c r="C13" s="2"/>
      <c r="D13" s="41"/>
      <c r="E13" s="41"/>
      <c r="F13" s="41"/>
      <c r="G13" s="2">
        <v>0</v>
      </c>
      <c r="H13" s="2">
        <v>0</v>
      </c>
      <c r="I13" s="2">
        <v>0</v>
      </c>
      <c r="J13" s="2">
        <v>0</v>
      </c>
      <c r="K13" s="2">
        <v>0</v>
      </c>
      <c r="L13" s="2">
        <v>0</v>
      </c>
      <c r="M13" s="5">
        <v>1.1261964E-3</v>
      </c>
      <c r="N13" s="5">
        <v>2.6542711983546598E-4</v>
      </c>
      <c r="O13" s="5">
        <v>1.0752688172043E-5</v>
      </c>
      <c r="P13" s="5">
        <v>-2.0999999999999999E-5</v>
      </c>
      <c r="Q13" s="5">
        <v>-1.6500000000000001E-5</v>
      </c>
    </row>
    <row r="14" spans="1:18" x14ac:dyDescent="0.3">
      <c r="A14" s="6" t="s">
        <v>67</v>
      </c>
      <c r="B14" s="43" t="s">
        <v>40</v>
      </c>
      <c r="C14" s="2"/>
      <c r="D14" s="41"/>
      <c r="E14" s="41"/>
      <c r="F14" s="41"/>
      <c r="G14" s="7">
        <v>1233</v>
      </c>
      <c r="H14" s="7">
        <v>0.93</v>
      </c>
      <c r="I14" s="7">
        <v>5.23</v>
      </c>
      <c r="J14" s="7">
        <v>3.74</v>
      </c>
      <c r="K14" s="2">
        <v>0</v>
      </c>
      <c r="L14" s="2">
        <v>0</v>
      </c>
      <c r="M14" s="5">
        <v>1.1261964E-3</v>
      </c>
      <c r="N14" s="5">
        <v>2.6542711983546598E-4</v>
      </c>
      <c r="O14" s="5">
        <v>1.0752688172043E-5</v>
      </c>
      <c r="P14" s="5">
        <v>-1.7200000000000001E-5</v>
      </c>
      <c r="Q14" s="5">
        <v>-6.8499999999999996E-6</v>
      </c>
      <c r="R14" s="36"/>
    </row>
    <row r="15" spans="1:18" x14ac:dyDescent="0.3">
      <c r="A15" s="7" t="s">
        <v>69</v>
      </c>
      <c r="B15" s="43"/>
      <c r="C15" s="2"/>
      <c r="D15" s="41"/>
      <c r="E15" s="41"/>
      <c r="F15" s="41"/>
      <c r="G15" s="2">
        <v>1530</v>
      </c>
      <c r="H15" s="2">
        <v>1.4</v>
      </c>
      <c r="I15" s="2">
        <f>H15*5.6</f>
        <v>7.839999999999999</v>
      </c>
      <c r="J15" s="2">
        <v>4.57</v>
      </c>
      <c r="K15" s="2">
        <v>0</v>
      </c>
      <c r="L15" s="2">
        <v>0</v>
      </c>
      <c r="M15" s="5">
        <v>1.1261964E-3</v>
      </c>
      <c r="N15" s="5">
        <v>2.6542711983546598E-4</v>
      </c>
      <c r="O15" s="5">
        <v>1.0752688172043E-5</v>
      </c>
      <c r="P15" s="5">
        <v>-2.02E-5</v>
      </c>
      <c r="Q15" s="5">
        <v>-8.4999999999999999E-6</v>
      </c>
      <c r="R15" s="36"/>
    </row>
    <row r="16" spans="1:18" x14ac:dyDescent="0.3">
      <c r="A16" s="8" t="s">
        <v>68</v>
      </c>
      <c r="B16" s="43"/>
      <c r="C16" s="2"/>
      <c r="D16" s="41"/>
      <c r="E16" s="41"/>
      <c r="F16" s="41"/>
      <c r="G16" s="2">
        <v>2197</v>
      </c>
      <c r="H16" s="2">
        <v>1.9</v>
      </c>
      <c r="I16" s="2">
        <v>10.64</v>
      </c>
      <c r="J16" s="2">
        <v>8.07</v>
      </c>
      <c r="K16" s="2">
        <v>0</v>
      </c>
      <c r="L16" s="2">
        <v>0</v>
      </c>
      <c r="M16" s="5">
        <v>1.1261964E-3</v>
      </c>
      <c r="N16" s="5">
        <v>2.6542711983546598E-4</v>
      </c>
      <c r="O16" s="5">
        <v>1.0752688172043E-5</v>
      </c>
      <c r="P16" s="5">
        <v>-2.1299999999999999E-5</v>
      </c>
      <c r="Q16" s="5">
        <v>-9.1500000000000005E-6</v>
      </c>
      <c r="R16" s="36"/>
    </row>
    <row r="17" spans="1:18" x14ac:dyDescent="0.3">
      <c r="A17" s="6" t="s">
        <v>67</v>
      </c>
      <c r="B17" s="40" t="s">
        <v>70</v>
      </c>
      <c r="C17" s="40" t="s">
        <v>73</v>
      </c>
      <c r="D17" s="41"/>
      <c r="E17" s="41"/>
      <c r="F17" s="41"/>
      <c r="G17" s="2">
        <v>1678</v>
      </c>
      <c r="H17" s="2">
        <v>12.4</v>
      </c>
      <c r="I17" s="2">
        <f>H17*5.6</f>
        <v>69.44</v>
      </c>
      <c r="J17" s="2">
        <v>17</v>
      </c>
      <c r="K17" s="2">
        <v>1.3</v>
      </c>
      <c r="L17" s="2">
        <v>0</v>
      </c>
      <c r="M17" s="5">
        <v>1.1261964E-3</v>
      </c>
      <c r="N17" s="5">
        <v>2.6542711983546598E-4</v>
      </c>
      <c r="O17" s="5">
        <v>1.0752688172043E-5</v>
      </c>
      <c r="P17" s="5">
        <v>-1.8E-5</v>
      </c>
      <c r="Q17" s="5">
        <v>-7.1999999999999997E-6</v>
      </c>
      <c r="R17" s="36"/>
    </row>
    <row r="18" spans="1:18" x14ac:dyDescent="0.3">
      <c r="A18" s="7" t="s">
        <v>69</v>
      </c>
      <c r="B18" s="41"/>
      <c r="C18" s="41"/>
      <c r="D18" s="41"/>
      <c r="E18" s="41"/>
      <c r="F18" s="41"/>
      <c r="G18" s="2">
        <v>1880</v>
      </c>
      <c r="H18" s="2">
        <v>16.899999999999999</v>
      </c>
      <c r="I18" s="2">
        <f>H18*5.6</f>
        <v>94.639999999999986</v>
      </c>
      <c r="J18" s="2">
        <v>14.53</v>
      </c>
      <c r="K18" s="2">
        <v>1.1000000000000001</v>
      </c>
      <c r="L18" s="2">
        <v>0</v>
      </c>
      <c r="M18" s="5">
        <v>1.1261964E-3</v>
      </c>
      <c r="N18" s="5">
        <v>2.6542711983546598E-4</v>
      </c>
      <c r="O18" s="5">
        <v>1.0752688172043E-5</v>
      </c>
      <c r="P18" s="5">
        <v>-2.09E-5</v>
      </c>
      <c r="Q18" s="5">
        <v>-8.8699999999999998E-6</v>
      </c>
      <c r="R18" s="36"/>
    </row>
    <row r="19" spans="1:18" x14ac:dyDescent="0.3">
      <c r="A19" s="8" t="s">
        <v>68</v>
      </c>
      <c r="B19" s="41"/>
      <c r="C19" s="42"/>
      <c r="D19" s="41"/>
      <c r="E19" s="41"/>
      <c r="F19" s="41"/>
      <c r="G19" s="2">
        <v>2234</v>
      </c>
      <c r="H19" s="2">
        <v>20.239999999999998</v>
      </c>
      <c r="I19" s="2">
        <v>113.32</v>
      </c>
      <c r="J19" s="2">
        <v>19.149999999999999</v>
      </c>
      <c r="K19" s="2">
        <v>1.54</v>
      </c>
      <c r="L19" s="2">
        <v>0</v>
      </c>
      <c r="M19" s="5">
        <v>1.1261964E-3</v>
      </c>
      <c r="N19" s="5">
        <v>2.6542711983546598E-4</v>
      </c>
      <c r="O19" s="5">
        <v>1.0752688172043E-5</v>
      </c>
      <c r="P19" s="5">
        <v>-2.26E-5</v>
      </c>
      <c r="Q19" s="5">
        <v>-9.9199999999999999E-6</v>
      </c>
      <c r="R19" s="36"/>
    </row>
    <row r="20" spans="1:18" x14ac:dyDescent="0.3">
      <c r="A20" s="6" t="s">
        <v>67</v>
      </c>
      <c r="B20" s="41"/>
      <c r="C20" s="40" t="s">
        <v>43</v>
      </c>
      <c r="D20" s="41"/>
      <c r="E20" s="41"/>
      <c r="F20" s="41"/>
      <c r="G20" s="2">
        <v>1678</v>
      </c>
      <c r="H20" s="2">
        <v>12.4</v>
      </c>
      <c r="I20" s="2">
        <f>H20*5.6</f>
        <v>69.44</v>
      </c>
      <c r="J20" s="2">
        <v>6.7</v>
      </c>
      <c r="K20" s="2">
        <v>5</v>
      </c>
      <c r="L20" s="2">
        <v>0</v>
      </c>
      <c r="M20" s="5">
        <v>1.1261964E-3</v>
      </c>
      <c r="N20" s="5">
        <v>2.6542711983546598E-4</v>
      </c>
      <c r="O20" s="5">
        <v>1.0752688172043E-5</v>
      </c>
      <c r="P20" s="5">
        <v>-1.8E-5</v>
      </c>
      <c r="Q20" s="5">
        <v>-7.1999999999999997E-6</v>
      </c>
      <c r="R20" s="36"/>
    </row>
    <row r="21" spans="1:18" x14ac:dyDescent="0.3">
      <c r="A21" s="7" t="s">
        <v>69</v>
      </c>
      <c r="B21" s="41"/>
      <c r="C21" s="41"/>
      <c r="D21" s="41"/>
      <c r="E21" s="41"/>
      <c r="F21" s="41"/>
      <c r="G21" s="2">
        <v>1880</v>
      </c>
      <c r="H21" s="2">
        <v>16.899999999999999</v>
      </c>
      <c r="I21" s="2">
        <f>H21*5.6</f>
        <v>94.639999999999986</v>
      </c>
      <c r="J21" s="2">
        <v>6.43</v>
      </c>
      <c r="K21" s="2">
        <v>3.85</v>
      </c>
      <c r="L21" s="2">
        <v>0</v>
      </c>
      <c r="M21" s="5">
        <v>1.1261964E-3</v>
      </c>
      <c r="N21" s="5">
        <v>2.6542711983546598E-4</v>
      </c>
      <c r="O21" s="5">
        <v>1.0752688172043E-5</v>
      </c>
      <c r="P21" s="5">
        <v>-2.09E-5</v>
      </c>
      <c r="Q21" s="5">
        <v>-8.8699999999999998E-6</v>
      </c>
      <c r="R21" s="36"/>
    </row>
    <row r="22" spans="1:18" x14ac:dyDescent="0.3">
      <c r="A22" s="8" t="s">
        <v>68</v>
      </c>
      <c r="B22" s="42"/>
      <c r="C22" s="42"/>
      <c r="D22" s="41"/>
      <c r="E22" s="41"/>
      <c r="F22" s="41"/>
      <c r="G22" s="2">
        <v>2234</v>
      </c>
      <c r="H22" s="2">
        <v>20.239999999999998</v>
      </c>
      <c r="I22" s="2">
        <v>113.32</v>
      </c>
      <c r="J22" s="2">
        <v>8.2799999999999994</v>
      </c>
      <c r="K22" s="2">
        <v>4.96</v>
      </c>
      <c r="L22" s="2">
        <v>0</v>
      </c>
      <c r="M22" s="5">
        <v>1.1261964E-3</v>
      </c>
      <c r="N22" s="5">
        <v>2.6542711983546598E-4</v>
      </c>
      <c r="O22" s="5">
        <v>1.0752688172043E-5</v>
      </c>
      <c r="P22" s="5">
        <v>-2.26E-5</v>
      </c>
      <c r="Q22" s="5">
        <v>-9.9199999999999999E-6</v>
      </c>
      <c r="R22" s="36"/>
    </row>
    <row r="23" spans="1:18" x14ac:dyDescent="0.3">
      <c r="A23" s="6" t="s">
        <v>67</v>
      </c>
      <c r="B23" s="40" t="s">
        <v>71</v>
      </c>
      <c r="C23" s="40" t="s">
        <v>72</v>
      </c>
      <c r="D23" s="41"/>
      <c r="E23" s="41"/>
      <c r="F23" s="41"/>
      <c r="G23" s="7">
        <v>1528</v>
      </c>
      <c r="H23" s="7">
        <v>47</v>
      </c>
      <c r="I23">
        <v>265</v>
      </c>
      <c r="J23" s="7">
        <v>15.7</v>
      </c>
      <c r="K23" s="2">
        <v>0</v>
      </c>
      <c r="L23" s="2">
        <v>0</v>
      </c>
      <c r="M23" s="5">
        <v>1.1261964E-3</v>
      </c>
      <c r="N23" s="5">
        <v>2.6542711983546598E-4</v>
      </c>
      <c r="O23" s="5">
        <v>1.0752688172043E-5</v>
      </c>
      <c r="P23" s="5">
        <v>-1.7900000000000001E-5</v>
      </c>
      <c r="Q23" s="5">
        <v>-6.7800000000000003E-6</v>
      </c>
    </row>
    <row r="24" spans="1:18" x14ac:dyDescent="0.3">
      <c r="A24" s="7" t="s">
        <v>69</v>
      </c>
      <c r="B24" s="41"/>
      <c r="C24" s="41"/>
      <c r="D24" s="41"/>
      <c r="E24" s="41"/>
      <c r="F24" s="41"/>
      <c r="G24" s="2">
        <v>2025</v>
      </c>
      <c r="H24" s="2">
        <v>74</v>
      </c>
      <c r="I24" s="2">
        <f>H24*5.6</f>
        <v>414.4</v>
      </c>
      <c r="J24" s="2">
        <v>16.3</v>
      </c>
      <c r="K24" s="2">
        <v>0</v>
      </c>
      <c r="L24" s="2">
        <v>0</v>
      </c>
      <c r="M24" s="5">
        <v>1.1261964E-3</v>
      </c>
      <c r="N24" s="5">
        <v>2.6542711983546598E-4</v>
      </c>
      <c r="O24" s="5">
        <v>1.0752688172043E-5</v>
      </c>
      <c r="P24" s="5">
        <v>-2.09E-5</v>
      </c>
      <c r="Q24" s="5">
        <v>-8.5099999999999998E-6</v>
      </c>
    </row>
    <row r="25" spans="1:18" x14ac:dyDescent="0.3">
      <c r="A25" s="8" t="s">
        <v>68</v>
      </c>
      <c r="B25" s="41"/>
      <c r="C25" s="42"/>
      <c r="D25" s="41"/>
      <c r="E25" s="41"/>
      <c r="F25" s="41"/>
      <c r="G25" s="2">
        <v>2469</v>
      </c>
      <c r="H25" s="2">
        <v>108</v>
      </c>
      <c r="I25" s="2">
        <v>604</v>
      </c>
      <c r="J25" s="2">
        <v>18.940000000000001</v>
      </c>
      <c r="K25" s="2">
        <v>0</v>
      </c>
      <c r="L25" s="2">
        <v>0</v>
      </c>
      <c r="M25" s="5">
        <v>1.1261964E-3</v>
      </c>
      <c r="N25" s="5">
        <v>2.6542711983546598E-4</v>
      </c>
      <c r="O25" s="5">
        <v>1.0752688172043E-5</v>
      </c>
      <c r="P25" s="5">
        <v>-2.1800000000000001E-5</v>
      </c>
      <c r="Q25" s="5">
        <v>-9.0299999999999999E-6</v>
      </c>
    </row>
    <row r="26" spans="1:18" x14ac:dyDescent="0.3">
      <c r="A26" s="6" t="s">
        <v>67</v>
      </c>
      <c r="B26" s="41"/>
      <c r="C26" s="40">
        <v>2050</v>
      </c>
      <c r="D26" s="41"/>
      <c r="E26" s="41"/>
      <c r="F26" s="41"/>
      <c r="G26" s="7">
        <v>1528</v>
      </c>
      <c r="H26" s="7">
        <v>47</v>
      </c>
      <c r="I26" s="31">
        <v>265</v>
      </c>
      <c r="J26" s="7">
        <v>15.7</v>
      </c>
      <c r="K26" s="2">
        <v>0</v>
      </c>
      <c r="L26" s="2">
        <v>0</v>
      </c>
      <c r="M26" s="5">
        <v>1.1261964E-3</v>
      </c>
      <c r="N26" s="5">
        <v>2.6542711983546598E-4</v>
      </c>
      <c r="O26" s="5">
        <v>1.0752688172043E-5</v>
      </c>
      <c r="P26" s="5">
        <v>-1.7900000000000001E-5</v>
      </c>
      <c r="Q26" s="5">
        <v>-6.7800000000000003E-6</v>
      </c>
      <c r="R26" s="36"/>
    </row>
    <row r="27" spans="1:18" x14ac:dyDescent="0.3">
      <c r="A27" s="7" t="s">
        <v>69</v>
      </c>
      <c r="B27" s="41"/>
      <c r="C27" s="41"/>
      <c r="D27" s="41"/>
      <c r="E27" s="41"/>
      <c r="F27" s="41"/>
      <c r="G27" s="2">
        <v>2025</v>
      </c>
      <c r="H27" s="2">
        <v>74</v>
      </c>
      <c r="I27" s="2">
        <f>H27*5.6</f>
        <v>414.4</v>
      </c>
      <c r="J27" s="2">
        <v>16.3</v>
      </c>
      <c r="K27" s="2">
        <v>0</v>
      </c>
      <c r="L27" s="2">
        <v>0</v>
      </c>
      <c r="M27" s="5">
        <v>1.1261964E-3</v>
      </c>
      <c r="N27" s="5">
        <v>2.6542711983546598E-4</v>
      </c>
      <c r="O27" s="5">
        <v>1.0752688172043E-5</v>
      </c>
      <c r="P27" s="5">
        <v>-2.09E-5</v>
      </c>
      <c r="Q27" s="5">
        <v>-8.5099999999999998E-6</v>
      </c>
      <c r="R27" s="36"/>
    </row>
    <row r="28" spans="1:18" x14ac:dyDescent="0.3">
      <c r="A28" s="8" t="s">
        <v>68</v>
      </c>
      <c r="B28" s="42"/>
      <c r="C28" s="42"/>
      <c r="D28" s="41"/>
      <c r="E28" s="41"/>
      <c r="F28" s="41"/>
      <c r="G28" s="2">
        <v>2469</v>
      </c>
      <c r="H28" s="2">
        <v>108</v>
      </c>
      <c r="I28" s="2">
        <v>604</v>
      </c>
      <c r="J28" s="2">
        <v>18.940000000000001</v>
      </c>
      <c r="K28" s="2">
        <v>0</v>
      </c>
      <c r="L28" s="2">
        <v>0</v>
      </c>
      <c r="M28" s="5">
        <v>1.1261964E-3</v>
      </c>
      <c r="N28" s="5">
        <v>2.6542711983546598E-4</v>
      </c>
      <c r="O28" s="5">
        <v>1.0752688172043E-5</v>
      </c>
      <c r="P28" s="5">
        <v>-2.1800000000000001E-5</v>
      </c>
      <c r="Q28" s="5">
        <v>-9.0299999999999999E-6</v>
      </c>
      <c r="R28" s="36"/>
    </row>
    <row r="29" spans="1:18" x14ac:dyDescent="0.3">
      <c r="A29" s="6" t="s">
        <v>67</v>
      </c>
      <c r="B29" s="40" t="s">
        <v>44</v>
      </c>
      <c r="C29" s="40" t="s">
        <v>41</v>
      </c>
      <c r="D29" s="41"/>
      <c r="E29" s="41"/>
      <c r="F29" s="41"/>
      <c r="G29" s="7">
        <v>0</v>
      </c>
      <c r="H29" s="7">
        <v>0</v>
      </c>
      <c r="I29" s="7">
        <v>0</v>
      </c>
      <c r="J29" s="7">
        <v>0</v>
      </c>
      <c r="K29" s="2">
        <v>0</v>
      </c>
      <c r="L29" s="2">
        <v>0</v>
      </c>
      <c r="M29" s="5">
        <v>1.1261964E-3</v>
      </c>
      <c r="N29" s="5">
        <v>2.6542711983546598E-4</v>
      </c>
      <c r="O29" s="5">
        <v>1.0752688172043E-5</v>
      </c>
      <c r="P29" s="5">
        <v>-1.7200000000000001E-5</v>
      </c>
      <c r="Q29" s="5">
        <v>-6.4300000000000003E-6</v>
      </c>
      <c r="R29" s="36"/>
    </row>
    <row r="30" spans="1:18" x14ac:dyDescent="0.3">
      <c r="A30" s="7" t="s">
        <v>69</v>
      </c>
      <c r="B30" s="41"/>
      <c r="C30" s="41"/>
      <c r="D30" s="41"/>
      <c r="E30" s="41"/>
      <c r="F30" s="41"/>
      <c r="G30" s="2">
        <v>1800</v>
      </c>
      <c r="H30" s="2">
        <v>1.2</v>
      </c>
      <c r="I30" s="2">
        <f>H30*5.6</f>
        <v>6.72</v>
      </c>
      <c r="J30" s="2">
        <v>0.85</v>
      </c>
      <c r="K30" s="2">
        <v>0</v>
      </c>
      <c r="L30" s="2">
        <v>53.484000000000002</v>
      </c>
      <c r="M30" s="5">
        <v>1.1261964E-3</v>
      </c>
      <c r="N30" s="5">
        <v>2.6542711983546598E-4</v>
      </c>
      <c r="O30" s="5">
        <v>1.0752688172043E-5</v>
      </c>
      <c r="P30" s="5">
        <v>-2.0800000000000001E-5</v>
      </c>
      <c r="Q30" s="5">
        <v>-8.4200000000000007E-6</v>
      </c>
      <c r="R30" s="36"/>
    </row>
    <row r="31" spans="1:18" x14ac:dyDescent="0.3">
      <c r="A31" s="8" t="s">
        <v>68</v>
      </c>
      <c r="B31" s="41"/>
      <c r="C31" s="42"/>
      <c r="D31" s="41"/>
      <c r="E31" s="41"/>
      <c r="F31" s="41"/>
      <c r="G31" s="2">
        <v>0</v>
      </c>
      <c r="H31" s="2">
        <v>0</v>
      </c>
      <c r="I31" s="2">
        <v>0</v>
      </c>
      <c r="J31" s="2">
        <v>0</v>
      </c>
      <c r="K31" s="2">
        <v>0</v>
      </c>
      <c r="L31" s="2">
        <v>0</v>
      </c>
      <c r="M31" s="5">
        <v>1.1261964E-3</v>
      </c>
      <c r="N31" s="5">
        <v>2.6542711983546598E-4</v>
      </c>
      <c r="O31" s="5">
        <v>1.0752688172043E-5</v>
      </c>
      <c r="P31" s="5">
        <v>-2.23E-5</v>
      </c>
      <c r="Q31" s="5">
        <v>-9.3300000000000005E-6</v>
      </c>
      <c r="R31" s="36"/>
    </row>
    <row r="32" spans="1:18" x14ac:dyDescent="0.3">
      <c r="A32" s="6" t="s">
        <v>67</v>
      </c>
      <c r="B32" s="41"/>
      <c r="C32" s="40" t="s">
        <v>42</v>
      </c>
      <c r="D32" s="41"/>
      <c r="E32" s="41"/>
      <c r="F32" s="41"/>
      <c r="G32" s="7">
        <v>0</v>
      </c>
      <c r="H32" s="7">
        <v>0</v>
      </c>
      <c r="I32" s="7">
        <v>0</v>
      </c>
      <c r="J32" s="7">
        <v>0</v>
      </c>
      <c r="K32" s="2">
        <v>0</v>
      </c>
      <c r="L32" s="2">
        <v>0</v>
      </c>
      <c r="M32" s="5">
        <v>1.1261964E-3</v>
      </c>
      <c r="N32" s="5">
        <v>2.6542711983546598E-4</v>
      </c>
      <c r="O32" s="5">
        <v>1.0752688172043E-5</v>
      </c>
      <c r="P32" s="5">
        <v>-1.7200000000000001E-5</v>
      </c>
      <c r="Q32" s="5">
        <v>-6.4300000000000003E-6</v>
      </c>
      <c r="R32" s="36"/>
    </row>
    <row r="33" spans="1:18" x14ac:dyDescent="0.3">
      <c r="A33" s="7" t="s">
        <v>69</v>
      </c>
      <c r="B33" s="41"/>
      <c r="C33" s="41"/>
      <c r="D33" s="41"/>
      <c r="E33" s="41"/>
      <c r="F33" s="41"/>
      <c r="G33" s="2">
        <v>1800</v>
      </c>
      <c r="H33" s="2">
        <v>1.2</v>
      </c>
      <c r="I33" s="2">
        <f>H33*5.6</f>
        <v>6.72</v>
      </c>
      <c r="J33" s="2">
        <v>0.85</v>
      </c>
      <c r="K33" s="2">
        <v>0</v>
      </c>
      <c r="L33" s="2">
        <v>53.484000000000002</v>
      </c>
      <c r="M33" s="5">
        <v>1.1261964E-3</v>
      </c>
      <c r="N33" s="5">
        <v>2.6542711983546598E-4</v>
      </c>
      <c r="O33" s="5">
        <v>1.0752688172043E-5</v>
      </c>
      <c r="P33" s="5">
        <v>-2.0800000000000001E-5</v>
      </c>
      <c r="Q33" s="5">
        <v>-8.4200000000000007E-6</v>
      </c>
      <c r="R33" s="36"/>
    </row>
    <row r="34" spans="1:18" x14ac:dyDescent="0.3">
      <c r="A34" s="8" t="s">
        <v>68</v>
      </c>
      <c r="B34" s="42"/>
      <c r="C34" s="42"/>
      <c r="D34" s="42"/>
      <c r="E34" s="42"/>
      <c r="F34" s="42"/>
      <c r="G34" s="2">
        <v>0</v>
      </c>
      <c r="H34" s="2">
        <v>0</v>
      </c>
      <c r="I34" s="2">
        <v>0</v>
      </c>
      <c r="J34" s="2">
        <v>0</v>
      </c>
      <c r="K34" s="2">
        <v>0</v>
      </c>
      <c r="L34" s="2">
        <v>0</v>
      </c>
      <c r="M34" s="5">
        <v>1.1261964E-3</v>
      </c>
      <c r="N34" s="5">
        <v>2.6542711983546598E-4</v>
      </c>
      <c r="O34" s="5">
        <v>1.0752688172043E-5</v>
      </c>
      <c r="P34" s="5">
        <v>-2.23E-5</v>
      </c>
      <c r="Q34" s="5">
        <v>-9.3300000000000005E-6</v>
      </c>
      <c r="R34" s="36"/>
    </row>
    <row r="35" spans="1:18" x14ac:dyDescent="0.3">
      <c r="D35" s="12"/>
    </row>
    <row r="39" spans="1:18" x14ac:dyDescent="0.3">
      <c r="A39" t="s">
        <v>87</v>
      </c>
    </row>
    <row r="41" spans="1:18" x14ac:dyDescent="0.3">
      <c r="A41" t="s">
        <v>78</v>
      </c>
    </row>
    <row r="42" spans="1:18" x14ac:dyDescent="0.3">
      <c r="A42" t="s">
        <v>81</v>
      </c>
    </row>
    <row r="43" spans="1:18" x14ac:dyDescent="0.3">
      <c r="A43" t="s">
        <v>82</v>
      </c>
    </row>
    <row r="44" spans="1:18" x14ac:dyDescent="0.3">
      <c r="A44" t="s">
        <v>83</v>
      </c>
    </row>
    <row r="45" spans="1:18" x14ac:dyDescent="0.3">
      <c r="A45" t="s">
        <v>84</v>
      </c>
    </row>
    <row r="46" spans="1:18" x14ac:dyDescent="0.3">
      <c r="A46" t="s">
        <v>85</v>
      </c>
    </row>
    <row r="48" spans="1:18" x14ac:dyDescent="0.3">
      <c r="A48" t="s">
        <v>86</v>
      </c>
    </row>
    <row r="92" spans="5:11" x14ac:dyDescent="0.3">
      <c r="E92" s="3"/>
      <c r="F92" s="3"/>
      <c r="G92" s="3"/>
      <c r="H92" s="3"/>
      <c r="I92" s="3"/>
      <c r="J92" s="3"/>
      <c r="K92" s="3"/>
    </row>
  </sheetData>
  <mergeCells count="17">
    <mergeCell ref="E2:E34"/>
    <mergeCell ref="F2:F34"/>
    <mergeCell ref="D2:D34"/>
    <mergeCell ref="C29:C31"/>
    <mergeCell ref="C32:C34"/>
    <mergeCell ref="C17:C19"/>
    <mergeCell ref="C20:C22"/>
    <mergeCell ref="C26:C28"/>
    <mergeCell ref="C23:C25"/>
    <mergeCell ref="B17:B22"/>
    <mergeCell ref="B29:B34"/>
    <mergeCell ref="B23:B28"/>
    <mergeCell ref="B2:B4"/>
    <mergeCell ref="B5:B7"/>
    <mergeCell ref="B8:B10"/>
    <mergeCell ref="B11:B13"/>
    <mergeCell ref="B14:B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AA890-4968-4ADA-999E-24F3FFBEE94B}">
  <dimension ref="A1:S34"/>
  <sheetViews>
    <sheetView zoomScale="85" zoomScaleNormal="85" workbookViewId="0">
      <selection activeCell="I35" sqref="I35"/>
    </sheetView>
  </sheetViews>
  <sheetFormatPr baseColWidth="10" defaultRowHeight="14.4" x14ac:dyDescent="0.3"/>
  <sheetData>
    <row r="1" spans="1:19" x14ac:dyDescent="0.3">
      <c r="A1" s="47"/>
      <c r="B1" s="47"/>
      <c r="C1" s="47"/>
      <c r="D1" s="21" t="s">
        <v>77</v>
      </c>
      <c r="E1" s="21" t="s">
        <v>52</v>
      </c>
      <c r="F1" s="21" t="s">
        <v>53</v>
      </c>
      <c r="G1" s="21" t="s">
        <v>54</v>
      </c>
      <c r="H1" s="21" t="s">
        <v>55</v>
      </c>
      <c r="I1" s="21" t="s">
        <v>56</v>
      </c>
      <c r="J1" s="21" t="s">
        <v>57</v>
      </c>
      <c r="K1" s="21" t="s">
        <v>58</v>
      </c>
      <c r="L1" s="21" t="s">
        <v>59</v>
      </c>
      <c r="M1" s="21" t="s">
        <v>60</v>
      </c>
      <c r="N1" s="21" t="s">
        <v>61</v>
      </c>
      <c r="O1" s="21" t="s">
        <v>62</v>
      </c>
      <c r="P1" s="21" t="s">
        <v>63</v>
      </c>
      <c r="Q1" s="21" t="s">
        <v>64</v>
      </c>
      <c r="R1" s="21" t="s">
        <v>65</v>
      </c>
      <c r="S1" s="21" t="s">
        <v>66</v>
      </c>
    </row>
    <row r="2" spans="1:19" x14ac:dyDescent="0.3">
      <c r="A2" s="43" t="s">
        <v>36</v>
      </c>
      <c r="B2" s="2" t="s">
        <v>67</v>
      </c>
      <c r="C2" s="27"/>
      <c r="D2" s="2">
        <v>0.13400000000000001</v>
      </c>
      <c r="E2" s="2">
        <v>5.7766708249443497E-5</v>
      </c>
      <c r="F2" s="2">
        <v>7.0653775245254323E-4</v>
      </c>
      <c r="G2" s="2">
        <v>0</v>
      </c>
      <c r="H2" s="2">
        <v>2.724731842799398E-4</v>
      </c>
      <c r="I2" s="2">
        <v>9.1590160371398489E-6</v>
      </c>
      <c r="J2" s="2">
        <v>0</v>
      </c>
      <c r="K2" s="2">
        <v>1.9429462130907331E-12</v>
      </c>
      <c r="L2" s="2">
        <v>2.8989820149356931E-11</v>
      </c>
      <c r="M2" s="2">
        <v>0</v>
      </c>
      <c r="N2" s="2">
        <v>0</v>
      </c>
      <c r="O2" s="2">
        <v>0</v>
      </c>
      <c r="P2" s="2">
        <v>0</v>
      </c>
      <c r="Q2" s="2">
        <v>4.5867635272107989E-10</v>
      </c>
      <c r="R2" s="2">
        <v>4.1404007975570432E-5</v>
      </c>
      <c r="S2" s="2">
        <v>0</v>
      </c>
    </row>
    <row r="3" spans="1:19" x14ac:dyDescent="0.3">
      <c r="A3" s="43"/>
      <c r="B3" s="2" t="s">
        <v>69</v>
      </c>
      <c r="C3" s="27"/>
      <c r="D3" s="2">
        <v>0.17499999999999999</v>
      </c>
      <c r="E3" s="2">
        <v>7.9320975394043007E-5</v>
      </c>
      <c r="F3" s="2">
        <v>9.5907997765742588E-4</v>
      </c>
      <c r="G3" s="2">
        <v>0</v>
      </c>
      <c r="H3" s="2">
        <v>3.7393014415337502E-4</v>
      </c>
      <c r="I3" s="2">
        <v>1.2502379732506759E-5</v>
      </c>
      <c r="J3" s="2">
        <v>0</v>
      </c>
      <c r="K3" s="2">
        <v>2.061262921650001E-12</v>
      </c>
      <c r="L3" s="2">
        <v>3.5970269791634942E-11</v>
      </c>
      <c r="M3" s="2">
        <v>0</v>
      </c>
      <c r="N3" s="2">
        <v>0</v>
      </c>
      <c r="O3" s="2">
        <v>0</v>
      </c>
      <c r="P3" s="2">
        <v>0</v>
      </c>
      <c r="Q3" s="2">
        <v>6.3137151360857446E-10</v>
      </c>
      <c r="R3" s="2">
        <v>5.5398775638762888E-5</v>
      </c>
      <c r="S3" s="2">
        <v>0</v>
      </c>
    </row>
    <row r="4" spans="1:19" x14ac:dyDescent="0.3">
      <c r="A4" s="43"/>
      <c r="B4" s="2" t="s">
        <v>68</v>
      </c>
      <c r="C4" s="27"/>
      <c r="D4" s="2">
        <v>0.20499999999999999</v>
      </c>
      <c r="E4" s="2">
        <v>9.0808819569714397E-5</v>
      </c>
      <c r="F4" s="2">
        <v>1.1087769706778351E-3</v>
      </c>
      <c r="G4" s="2">
        <v>0</v>
      </c>
      <c r="H4" s="2">
        <v>4.2800397009342978E-4</v>
      </c>
      <c r="I4" s="2">
        <v>1.428430207773454E-5</v>
      </c>
      <c r="J4" s="2">
        <v>0</v>
      </c>
      <c r="K4" s="2">
        <v>2.1310124551317748E-12</v>
      </c>
      <c r="L4" s="2">
        <v>4.0113258772253033E-11</v>
      </c>
      <c r="M4" s="2">
        <v>0</v>
      </c>
      <c r="N4" s="2">
        <v>0</v>
      </c>
      <c r="O4" s="2">
        <v>0</v>
      </c>
      <c r="P4" s="2">
        <v>0</v>
      </c>
      <c r="Q4" s="2">
        <v>7.2214227504260378E-10</v>
      </c>
      <c r="R4" s="2">
        <v>6.2857680525438069E-5</v>
      </c>
      <c r="S4" s="2">
        <v>0</v>
      </c>
    </row>
    <row r="5" spans="1:19" x14ac:dyDescent="0.3">
      <c r="A5" s="43" t="s">
        <v>37</v>
      </c>
      <c r="B5" s="7" t="s">
        <v>67</v>
      </c>
      <c r="C5" s="34"/>
      <c r="D5" s="2">
        <v>0.123</v>
      </c>
      <c r="E5" s="2">
        <v>3.7000007305535739E-4</v>
      </c>
      <c r="F5" s="2">
        <v>2.263437057505247E-10</v>
      </c>
      <c r="G5" s="2">
        <v>0</v>
      </c>
      <c r="H5" s="2">
        <v>2.1300004392060569E-3</v>
      </c>
      <c r="I5" s="2">
        <v>1.9450001005015451E-4</v>
      </c>
      <c r="J5" s="2">
        <v>0</v>
      </c>
      <c r="K5" s="2">
        <v>1.7211294166641639E-19</v>
      </c>
      <c r="L5" s="2">
        <v>1.4704711801728749E-18</v>
      </c>
      <c r="M5" s="2">
        <v>0</v>
      </c>
      <c r="N5" s="2">
        <v>0</v>
      </c>
      <c r="O5" s="2">
        <v>0</v>
      </c>
      <c r="P5" s="2">
        <v>0</v>
      </c>
      <c r="Q5" s="2">
        <v>8.0000041227173491E-10</v>
      </c>
      <c r="R5" s="2">
        <v>5.0000002618555569E-4</v>
      </c>
      <c r="S5" s="2">
        <v>0</v>
      </c>
    </row>
    <row r="6" spans="1:19" x14ac:dyDescent="0.3">
      <c r="A6" s="43"/>
      <c r="B6" s="7" t="s">
        <v>69</v>
      </c>
      <c r="C6" s="32"/>
      <c r="D6" s="2">
        <v>0.125</v>
      </c>
      <c r="E6" s="2">
        <v>3.7000007305535739E-4</v>
      </c>
      <c r="F6" s="2">
        <v>4.234524080770903E-10</v>
      </c>
      <c r="G6" s="2">
        <v>0</v>
      </c>
      <c r="H6" s="2">
        <v>2.1300004392060569E-3</v>
      </c>
      <c r="I6" s="2">
        <v>1.9450001005015451E-4</v>
      </c>
      <c r="J6" s="2">
        <v>0</v>
      </c>
      <c r="K6" s="2">
        <v>1.777149347716957E-19</v>
      </c>
      <c r="L6" s="2">
        <v>1.4704711801728749E-18</v>
      </c>
      <c r="M6" s="2">
        <v>0</v>
      </c>
      <c r="N6" s="2">
        <v>0</v>
      </c>
      <c r="O6" s="2">
        <v>0</v>
      </c>
      <c r="P6" s="2">
        <v>0</v>
      </c>
      <c r="Q6" s="2">
        <v>8.0000041227173491E-10</v>
      </c>
      <c r="R6" s="2">
        <v>5.0000002618555569E-4</v>
      </c>
      <c r="S6" s="2">
        <v>0</v>
      </c>
    </row>
    <row r="7" spans="1:19" x14ac:dyDescent="0.3">
      <c r="A7" s="43"/>
      <c r="B7" s="8" t="s">
        <v>68</v>
      </c>
      <c r="C7" s="32"/>
      <c r="D7" s="2">
        <v>0.14299999999999999</v>
      </c>
      <c r="E7" s="2">
        <v>3.7000007305535739E-4</v>
      </c>
      <c r="F7" s="2">
        <v>6.5876736023791629E-10</v>
      </c>
      <c r="G7" s="2">
        <v>0</v>
      </c>
      <c r="H7" s="2">
        <v>2.1300004392060569E-3</v>
      </c>
      <c r="I7" s="2">
        <v>1.9450001005015451E-4</v>
      </c>
      <c r="J7" s="2">
        <v>0</v>
      </c>
      <c r="K7" s="2">
        <v>1.8350337027916159E-19</v>
      </c>
      <c r="L7" s="2">
        <v>1.4704711801728749E-18</v>
      </c>
      <c r="M7" s="2">
        <v>0</v>
      </c>
      <c r="N7" s="2">
        <v>0</v>
      </c>
      <c r="O7" s="2">
        <v>0</v>
      </c>
      <c r="P7" s="2">
        <v>0</v>
      </c>
      <c r="Q7" s="2">
        <v>8.0000041227173491E-10</v>
      </c>
      <c r="R7" s="2">
        <v>5.0000002618555569E-4</v>
      </c>
      <c r="S7" s="2">
        <v>0</v>
      </c>
    </row>
    <row r="8" spans="1:19" x14ac:dyDescent="0.3">
      <c r="A8" s="43" t="s">
        <v>38</v>
      </c>
      <c r="B8" s="6" t="s">
        <v>67</v>
      </c>
      <c r="C8" s="32"/>
      <c r="D8" s="2">
        <v>0.109</v>
      </c>
      <c r="E8" s="2">
        <v>6.0635919449577962E-5</v>
      </c>
      <c r="F8" s="2">
        <v>7.4095342276366287E-4</v>
      </c>
      <c r="G8" s="2">
        <v>0</v>
      </c>
      <c r="H8" s="2">
        <v>2.8990310045492502E-4</v>
      </c>
      <c r="I8" s="2">
        <v>9.2766862972737553E-6</v>
      </c>
      <c r="J8" s="2">
        <v>0</v>
      </c>
      <c r="K8" s="2">
        <v>8.4634572408057941E-14</v>
      </c>
      <c r="L8" s="2">
        <v>2.079018417365221E-11</v>
      </c>
      <c r="M8" s="2">
        <v>0</v>
      </c>
      <c r="N8" s="2">
        <v>0</v>
      </c>
      <c r="O8" s="2">
        <v>0</v>
      </c>
      <c r="P8" s="2">
        <v>0</v>
      </c>
      <c r="Q8" s="2">
        <v>4.9862013029308978E-10</v>
      </c>
      <c r="R8" s="2">
        <v>3.3699160048100651E-5</v>
      </c>
      <c r="S8" s="2">
        <v>0</v>
      </c>
    </row>
    <row r="9" spans="1:19" x14ac:dyDescent="0.3">
      <c r="A9" s="43"/>
      <c r="B9" s="7" t="s">
        <v>69</v>
      </c>
      <c r="C9" s="32"/>
      <c r="D9" s="2">
        <v>0.13700000000000001</v>
      </c>
      <c r="E9" s="2">
        <v>8.479788055787028E-5</v>
      </c>
      <c r="F9" s="2">
        <v>1.0190034673629069E-3</v>
      </c>
      <c r="G9" s="2">
        <v>0</v>
      </c>
      <c r="H9" s="2">
        <v>4.0542253951968528E-4</v>
      </c>
      <c r="I9" s="2">
        <v>1.297322329497544E-5</v>
      </c>
      <c r="J9" s="2">
        <v>0</v>
      </c>
      <c r="K9" s="2">
        <v>1.0032609837261589E-13</v>
      </c>
      <c r="L9" s="2">
        <v>2.874483060369739E-11</v>
      </c>
      <c r="M9" s="2">
        <v>0</v>
      </c>
      <c r="N9" s="2">
        <v>0</v>
      </c>
      <c r="O9" s="2">
        <v>0</v>
      </c>
      <c r="P9" s="2">
        <v>0</v>
      </c>
      <c r="Q9" s="2">
        <v>6.9869409958394093E-10</v>
      </c>
      <c r="R9" s="2">
        <v>4.7127456028240328E-5</v>
      </c>
      <c r="S9" s="2">
        <v>0</v>
      </c>
    </row>
    <row r="10" spans="1:19" x14ac:dyDescent="0.3">
      <c r="A10" s="43"/>
      <c r="B10" s="8" t="s">
        <v>68</v>
      </c>
      <c r="C10" s="32"/>
      <c r="D10" s="6">
        <v>0.14599999999999999</v>
      </c>
      <c r="E10" s="6">
        <v>9.0625197857766731E-5</v>
      </c>
      <c r="F10" s="6">
        <v>1.084765054437642E-3</v>
      </c>
      <c r="G10" s="6">
        <v>0</v>
      </c>
      <c r="H10" s="6">
        <v>4.3328320886398732E-4</v>
      </c>
      <c r="I10" s="6">
        <v>1.3864743961022141E-5</v>
      </c>
      <c r="J10" s="6">
        <v>0</v>
      </c>
      <c r="K10" s="6">
        <v>1.0403330264304169E-13</v>
      </c>
      <c r="L10" s="2">
        <v>3.0636883674030443E-11</v>
      </c>
      <c r="M10" s="6">
        <v>0</v>
      </c>
      <c r="N10" s="6">
        <v>0</v>
      </c>
      <c r="O10" s="6">
        <v>0</v>
      </c>
      <c r="P10" s="6">
        <v>0</v>
      </c>
      <c r="Q10" s="6">
        <v>7.4706451762208608E-10</v>
      </c>
      <c r="R10" s="6">
        <v>5.036605233546229E-5</v>
      </c>
      <c r="S10" s="6">
        <v>0</v>
      </c>
    </row>
    <row r="11" spans="1:19" x14ac:dyDescent="0.3">
      <c r="A11" s="43" t="s">
        <v>39</v>
      </c>
      <c r="B11" s="6" t="s">
        <v>67</v>
      </c>
      <c r="C11" s="32"/>
      <c r="D11" s="2">
        <v>0.123</v>
      </c>
      <c r="E11" s="2">
        <v>9.5925803079973514E-10</v>
      </c>
      <c r="F11" s="2">
        <v>1.472297681527875E-8</v>
      </c>
      <c r="G11" s="2">
        <v>0</v>
      </c>
      <c r="H11" s="2">
        <v>4.6592218287943913E-9</v>
      </c>
      <c r="I11" s="2">
        <v>1.7462691676107691E-10</v>
      </c>
      <c r="J11" s="2">
        <v>0</v>
      </c>
      <c r="K11" s="2">
        <v>1.567633484878281E-19</v>
      </c>
      <c r="L11" s="2">
        <v>1.686196742833066E-15</v>
      </c>
      <c r="M11" s="2">
        <v>0</v>
      </c>
      <c r="N11" s="2">
        <v>0</v>
      </c>
      <c r="O11" s="2">
        <v>0</v>
      </c>
      <c r="P11" s="2">
        <v>0</v>
      </c>
      <c r="Q11" s="2">
        <v>5.3277829996490928E-15</v>
      </c>
      <c r="R11" s="2">
        <v>2.7932592101629562E-9</v>
      </c>
      <c r="S11" s="2">
        <v>0</v>
      </c>
    </row>
    <row r="12" spans="1:19" x14ac:dyDescent="0.3">
      <c r="A12" s="43"/>
      <c r="B12" s="7" t="s">
        <v>69</v>
      </c>
      <c r="C12" s="32"/>
      <c r="D12" s="2">
        <v>0.16</v>
      </c>
      <c r="E12" s="2">
        <v>9.5925803079973514E-10</v>
      </c>
      <c r="F12" s="2">
        <v>1.472297681527875E-8</v>
      </c>
      <c r="G12" s="2">
        <v>0</v>
      </c>
      <c r="H12" s="2">
        <v>4.6592218287943913E-9</v>
      </c>
      <c r="I12" s="2">
        <v>1.7462691676107691E-10</v>
      </c>
      <c r="J12" s="2">
        <v>0</v>
      </c>
      <c r="K12" s="2">
        <v>1.567633484878281E-19</v>
      </c>
      <c r="L12" s="2">
        <v>1.686196742833066E-15</v>
      </c>
      <c r="M12" s="2">
        <v>0</v>
      </c>
      <c r="N12" s="2">
        <v>0</v>
      </c>
      <c r="O12" s="2">
        <v>0</v>
      </c>
      <c r="P12" s="2">
        <v>0</v>
      </c>
      <c r="Q12" s="2">
        <v>5.3277829996490928E-15</v>
      </c>
      <c r="R12" s="2">
        <v>2.7932592101629562E-9</v>
      </c>
      <c r="S12" s="2">
        <v>0</v>
      </c>
    </row>
    <row r="13" spans="1:19" x14ac:dyDescent="0.3">
      <c r="A13" s="43"/>
      <c r="B13" s="8" t="s">
        <v>68</v>
      </c>
      <c r="C13" s="32"/>
      <c r="D13" s="2"/>
      <c r="E13" s="2"/>
      <c r="F13" s="2"/>
      <c r="G13" s="2"/>
      <c r="H13" s="2"/>
      <c r="I13" s="2"/>
      <c r="J13" s="2"/>
      <c r="K13" s="2"/>
      <c r="L13" s="2"/>
      <c r="M13" s="2"/>
      <c r="N13" s="2"/>
      <c r="O13" s="2"/>
      <c r="P13" s="2"/>
      <c r="Q13" s="2"/>
      <c r="R13" s="2"/>
      <c r="S13" s="2"/>
    </row>
    <row r="14" spans="1:19" x14ac:dyDescent="0.3">
      <c r="A14" s="43" t="s">
        <v>40</v>
      </c>
      <c r="B14" s="6" t="s">
        <v>67</v>
      </c>
      <c r="C14" s="32"/>
      <c r="D14" s="8">
        <v>9.6000000000000002E-2</v>
      </c>
      <c r="E14" s="8">
        <v>3.3666983701414268E-10</v>
      </c>
      <c r="F14" s="8">
        <v>1.0802794030402971E-9</v>
      </c>
      <c r="G14" s="8">
        <v>0</v>
      </c>
      <c r="H14" s="8">
        <v>1.644587675689373E-9</v>
      </c>
      <c r="I14" s="8">
        <v>6.5878592955688405E-11</v>
      </c>
      <c r="J14" s="8">
        <v>0</v>
      </c>
      <c r="K14" s="8">
        <v>2.8972773196526259E-19</v>
      </c>
      <c r="L14" s="8">
        <v>7.2648121207230439E-19</v>
      </c>
      <c r="M14" s="8">
        <v>0</v>
      </c>
      <c r="N14" s="8">
        <v>0</v>
      </c>
      <c r="O14" s="8">
        <v>0</v>
      </c>
      <c r="P14" s="8">
        <v>0</v>
      </c>
      <c r="Q14" s="8">
        <v>1.825672920617115E-15</v>
      </c>
      <c r="R14" s="8">
        <v>1.9166713129052312E-9</v>
      </c>
      <c r="S14" s="8">
        <v>0</v>
      </c>
    </row>
    <row r="15" spans="1:19" x14ac:dyDescent="0.3">
      <c r="A15" s="43"/>
      <c r="B15" s="7" t="s">
        <v>69</v>
      </c>
      <c r="C15" s="32"/>
      <c r="D15" s="2">
        <v>0.11</v>
      </c>
      <c r="E15" s="2">
        <v>6.1950677617101774E-10</v>
      </c>
      <c r="F15" s="2">
        <v>2.005665874784855E-9</v>
      </c>
      <c r="G15" s="2">
        <v>0</v>
      </c>
      <c r="H15" s="2">
        <v>3.0250338022389089E-9</v>
      </c>
      <c r="I15" s="2">
        <v>1.2079676202134451E-10</v>
      </c>
      <c r="J15" s="2">
        <v>0</v>
      </c>
      <c r="K15" s="2">
        <v>2.9631200935494931E-19</v>
      </c>
      <c r="L15" s="2">
        <v>9.3058409942292208E-19</v>
      </c>
      <c r="M15" s="2">
        <v>0</v>
      </c>
      <c r="N15" s="2">
        <v>0</v>
      </c>
      <c r="O15" s="2">
        <v>0</v>
      </c>
      <c r="P15" s="2">
        <v>0</v>
      </c>
      <c r="Q15" s="2">
        <v>3.361076919616526E-15</v>
      </c>
      <c r="R15" s="2">
        <v>3.485007288992924E-9</v>
      </c>
      <c r="S15" s="2">
        <v>0</v>
      </c>
    </row>
    <row r="16" spans="1:19" x14ac:dyDescent="0.3">
      <c r="A16" s="43"/>
      <c r="B16" s="8" t="s">
        <v>68</v>
      </c>
      <c r="C16" s="32"/>
      <c r="D16" s="2">
        <v>0.17399999999999999</v>
      </c>
      <c r="E16" s="2">
        <v>7.9416252283447699E-10</v>
      </c>
      <c r="F16" s="2">
        <v>2.6275596442281308E-9</v>
      </c>
      <c r="G16" s="2">
        <v>0</v>
      </c>
      <c r="H16" s="2">
        <v>3.8773757582945176E-9</v>
      </c>
      <c r="I16" s="2">
        <v>1.546822546895375E-10</v>
      </c>
      <c r="J16" s="2">
        <v>0</v>
      </c>
      <c r="K16" s="2">
        <v>2.9990103074194639E-19</v>
      </c>
      <c r="L16" s="2">
        <v>1.0637433849284071E-18</v>
      </c>
      <c r="M16" s="2">
        <v>0</v>
      </c>
      <c r="N16" s="2">
        <v>0</v>
      </c>
      <c r="O16" s="2">
        <v>0</v>
      </c>
      <c r="P16" s="2">
        <v>0</v>
      </c>
      <c r="Q16" s="2">
        <v>4.3078310615297009E-15</v>
      </c>
      <c r="R16" s="2">
        <v>4.4515381590099068E-9</v>
      </c>
      <c r="S16" s="2">
        <v>0</v>
      </c>
    </row>
    <row r="17" spans="1:19" x14ac:dyDescent="0.3">
      <c r="A17" s="40" t="s">
        <v>70</v>
      </c>
      <c r="B17" s="6" t="s">
        <v>67</v>
      </c>
      <c r="C17" s="44" t="s">
        <v>73</v>
      </c>
      <c r="D17" s="2">
        <v>1.7999999999999999E-2</v>
      </c>
      <c r="E17" s="2">
        <v>2.4403150857629862E-5</v>
      </c>
      <c r="F17" s="2">
        <v>2.9800846949522069E-4</v>
      </c>
      <c r="G17" s="2">
        <v>0</v>
      </c>
      <c r="H17" s="2">
        <v>1.151080217305094E-4</v>
      </c>
      <c r="I17" s="2">
        <v>3.8704220070653284E-6</v>
      </c>
      <c r="J17" s="2">
        <v>0</v>
      </c>
      <c r="K17" s="2">
        <v>9.1850283195580356E-13</v>
      </c>
      <c r="L17" s="2">
        <v>2.205477607886596E-11</v>
      </c>
      <c r="M17" s="2">
        <v>0</v>
      </c>
      <c r="N17" s="2">
        <v>0</v>
      </c>
      <c r="O17" s="2">
        <v>0</v>
      </c>
      <c r="P17" s="2">
        <v>0</v>
      </c>
      <c r="Q17" s="2">
        <v>1.9417781447004059E-10</v>
      </c>
      <c r="R17" s="2">
        <v>1.8200866089679621E-5</v>
      </c>
      <c r="S17" s="2">
        <v>0</v>
      </c>
    </row>
    <row r="18" spans="1:19" x14ac:dyDescent="0.3">
      <c r="A18" s="41"/>
      <c r="B18" s="7" t="s">
        <v>69</v>
      </c>
      <c r="C18" s="45"/>
      <c r="D18" s="2">
        <v>2.5999999999999999E-2</v>
      </c>
      <c r="E18" s="2">
        <v>2.7506937937215451E-5</v>
      </c>
      <c r="F18" s="2">
        <v>3.3717130058539012E-4</v>
      </c>
      <c r="G18" s="2">
        <v>0</v>
      </c>
      <c r="H18" s="2">
        <v>1.296705660823636E-4</v>
      </c>
      <c r="I18" s="2">
        <v>4.3352226524314363E-6</v>
      </c>
      <c r="J18" s="2">
        <v>0</v>
      </c>
      <c r="K18" s="2">
        <v>8.0147418425023589E-13</v>
      </c>
      <c r="L18" s="2">
        <v>2.3840364111115271E-11</v>
      </c>
      <c r="M18" s="2">
        <v>0</v>
      </c>
      <c r="N18" s="2">
        <v>0</v>
      </c>
      <c r="O18" s="2">
        <v>0</v>
      </c>
      <c r="P18" s="2">
        <v>0</v>
      </c>
      <c r="Q18" s="2">
        <v>2.1885489826218371E-10</v>
      </c>
      <c r="R18" s="2">
        <v>1.964233257300441E-5</v>
      </c>
      <c r="S18" s="2">
        <v>0</v>
      </c>
    </row>
    <row r="19" spans="1:19" x14ac:dyDescent="0.3">
      <c r="A19" s="41"/>
      <c r="B19" s="8" t="s">
        <v>68</v>
      </c>
      <c r="C19" s="46"/>
      <c r="D19" s="2">
        <v>2.8000000000000001E-2</v>
      </c>
      <c r="E19" s="2">
        <v>2.417188337654076E-5</v>
      </c>
      <c r="F19" s="2">
        <v>2.9662363596676729E-4</v>
      </c>
      <c r="G19" s="2">
        <v>0</v>
      </c>
      <c r="H19" s="2">
        <v>1.1393189387279701E-4</v>
      </c>
      <c r="I19" s="2">
        <v>3.803644606630916E-6</v>
      </c>
      <c r="J19" s="2">
        <v>0</v>
      </c>
      <c r="K19" s="2">
        <v>6.5977225890643007E-13</v>
      </c>
      <c r="L19" s="2">
        <v>2.0718612443857501E-11</v>
      </c>
      <c r="M19" s="2">
        <v>0</v>
      </c>
      <c r="N19" s="2">
        <v>0</v>
      </c>
      <c r="O19" s="2">
        <v>0</v>
      </c>
      <c r="P19" s="2">
        <v>0</v>
      </c>
      <c r="Q19" s="2">
        <v>1.9231837459599011E-10</v>
      </c>
      <c r="R19" s="2">
        <v>1.7071382644377551E-5</v>
      </c>
      <c r="S19" s="2">
        <v>0</v>
      </c>
    </row>
    <row r="20" spans="1:19" x14ac:dyDescent="0.3">
      <c r="A20" s="41"/>
      <c r="B20" s="6" t="s">
        <v>67</v>
      </c>
      <c r="C20" s="44" t="s">
        <v>43</v>
      </c>
      <c r="D20" s="2">
        <v>6.4000000000000001E-2</v>
      </c>
      <c r="E20" s="2">
        <v>2.4403150857629862E-5</v>
      </c>
      <c r="F20" s="2">
        <v>2.9800846949522069E-4</v>
      </c>
      <c r="G20" s="2">
        <v>0</v>
      </c>
      <c r="H20" s="2">
        <v>1.151080217305094E-4</v>
      </c>
      <c r="I20" s="2">
        <v>3.8704220070653284E-6</v>
      </c>
      <c r="J20" s="2">
        <v>0</v>
      </c>
      <c r="K20" s="2">
        <v>9.1850283195580356E-13</v>
      </c>
      <c r="L20" s="2">
        <v>2.205477607886596E-11</v>
      </c>
      <c r="M20" s="2">
        <v>0</v>
      </c>
      <c r="N20" s="2">
        <v>0</v>
      </c>
      <c r="O20" s="2">
        <v>0</v>
      </c>
      <c r="P20" s="2">
        <v>0</v>
      </c>
      <c r="Q20" s="2">
        <v>1.9417781447004059E-10</v>
      </c>
      <c r="R20" s="2">
        <v>1.8200866089679621E-5</v>
      </c>
      <c r="S20" s="2">
        <v>0</v>
      </c>
    </row>
    <row r="21" spans="1:19" x14ac:dyDescent="0.3">
      <c r="A21" s="41"/>
      <c r="B21" s="7" t="s">
        <v>69</v>
      </c>
      <c r="C21" s="45"/>
      <c r="D21" s="2">
        <f>D18*3</f>
        <v>7.8E-2</v>
      </c>
      <c r="E21" s="2">
        <v>2.7506937937215451E-5</v>
      </c>
      <c r="F21" s="2">
        <v>3.3717130058539012E-4</v>
      </c>
      <c r="G21" s="2">
        <v>0</v>
      </c>
      <c r="H21" s="2">
        <v>1.296705660823636E-4</v>
      </c>
      <c r="I21" s="2">
        <v>4.3352226524314363E-6</v>
      </c>
      <c r="J21" s="2">
        <v>0</v>
      </c>
      <c r="K21" s="2">
        <v>8.0147418425023589E-13</v>
      </c>
      <c r="L21" s="2">
        <v>2.3840364111115271E-11</v>
      </c>
      <c r="M21" s="2">
        <v>0</v>
      </c>
      <c r="N21" s="2">
        <v>0</v>
      </c>
      <c r="O21" s="2">
        <v>0</v>
      </c>
      <c r="P21" s="2">
        <v>0</v>
      </c>
      <c r="Q21" s="2">
        <v>2.1885489826218371E-10</v>
      </c>
      <c r="R21" s="2">
        <v>1.964233257300441E-5</v>
      </c>
      <c r="S21" s="2">
        <v>0</v>
      </c>
    </row>
    <row r="22" spans="1:19" x14ac:dyDescent="0.3">
      <c r="A22" s="42"/>
      <c r="B22" s="8" t="s">
        <v>68</v>
      </c>
      <c r="C22" s="46"/>
      <c r="D22" s="2">
        <v>8.4000000000000005E-2</v>
      </c>
      <c r="E22" s="2">
        <v>2.417188337654076E-5</v>
      </c>
      <c r="F22" s="2">
        <v>2.9662363596676729E-4</v>
      </c>
      <c r="G22" s="2">
        <v>0</v>
      </c>
      <c r="H22" s="2">
        <v>1.1393189387279701E-4</v>
      </c>
      <c r="I22" s="2">
        <v>3.803644606630916E-6</v>
      </c>
      <c r="J22" s="2">
        <v>0</v>
      </c>
      <c r="K22" s="2">
        <v>6.5977225890643007E-13</v>
      </c>
      <c r="L22" s="2">
        <v>2.0718612443857501E-11</v>
      </c>
      <c r="M22" s="2">
        <v>0</v>
      </c>
      <c r="N22" s="2">
        <v>0</v>
      </c>
      <c r="O22" s="2">
        <v>0</v>
      </c>
      <c r="P22" s="2">
        <v>0</v>
      </c>
      <c r="Q22" s="2">
        <v>1.9231837459599011E-10</v>
      </c>
      <c r="R22" s="2">
        <v>1.7071382644377551E-5</v>
      </c>
      <c r="S22" s="2">
        <v>0</v>
      </c>
    </row>
    <row r="23" spans="1:19" x14ac:dyDescent="0.3">
      <c r="A23" s="40" t="s">
        <v>71</v>
      </c>
      <c r="B23" s="6" t="s">
        <v>67</v>
      </c>
      <c r="C23" s="44" t="s">
        <v>72</v>
      </c>
      <c r="D23" s="33"/>
      <c r="E23" s="33"/>
      <c r="F23" s="33"/>
      <c r="G23" s="33"/>
      <c r="H23" s="33"/>
      <c r="I23" s="33"/>
      <c r="J23" s="33"/>
      <c r="K23" s="33"/>
      <c r="L23" s="33"/>
      <c r="M23" s="33"/>
      <c r="N23" s="33"/>
      <c r="O23" s="33"/>
      <c r="P23" s="33"/>
      <c r="Q23" s="33"/>
      <c r="R23" s="33"/>
      <c r="S23" s="33"/>
    </row>
    <row r="24" spans="1:19" x14ac:dyDescent="0.3">
      <c r="A24" s="41"/>
      <c r="B24" s="7" t="s">
        <v>69</v>
      </c>
      <c r="C24" s="45"/>
      <c r="D24" s="33"/>
      <c r="E24" s="33"/>
      <c r="F24" s="33"/>
      <c r="G24" s="33"/>
      <c r="H24" s="33"/>
      <c r="I24" s="33"/>
      <c r="J24" s="33"/>
      <c r="K24" s="33"/>
      <c r="L24" s="33"/>
      <c r="M24" s="33"/>
      <c r="N24" s="33"/>
      <c r="O24" s="33"/>
      <c r="P24" s="33"/>
      <c r="Q24" s="33"/>
      <c r="R24" s="33"/>
      <c r="S24" s="33"/>
    </row>
    <row r="25" spans="1:19" x14ac:dyDescent="0.3">
      <c r="A25" s="41"/>
      <c r="B25" s="8" t="s">
        <v>68</v>
      </c>
      <c r="C25" s="46"/>
      <c r="D25" s="33"/>
      <c r="E25" s="33"/>
      <c r="F25" s="33"/>
      <c r="G25" s="33"/>
      <c r="H25" s="33"/>
      <c r="I25" s="33"/>
      <c r="J25" s="33"/>
      <c r="K25" s="33"/>
      <c r="L25" s="33"/>
      <c r="M25" s="33"/>
      <c r="N25" s="33"/>
      <c r="O25" s="33"/>
      <c r="P25" s="33"/>
      <c r="Q25" s="33"/>
      <c r="R25" s="33"/>
      <c r="S25" s="33"/>
    </row>
    <row r="26" spans="1:19" x14ac:dyDescent="0.3">
      <c r="A26" s="41"/>
      <c r="B26" s="6" t="s">
        <v>67</v>
      </c>
      <c r="C26" s="44">
        <v>2050</v>
      </c>
      <c r="D26" s="33"/>
      <c r="E26" s="33"/>
      <c r="F26" s="33"/>
      <c r="G26" s="33"/>
      <c r="H26" s="33"/>
      <c r="I26" s="33"/>
      <c r="J26" s="33"/>
      <c r="K26" s="33"/>
      <c r="L26" s="33"/>
      <c r="M26" s="33"/>
      <c r="N26" s="33"/>
      <c r="O26" s="33"/>
      <c r="P26" s="33"/>
      <c r="Q26" s="33"/>
      <c r="R26" s="33"/>
      <c r="S26" s="33"/>
    </row>
    <row r="27" spans="1:19" x14ac:dyDescent="0.3">
      <c r="A27" s="41"/>
      <c r="B27" s="7" t="s">
        <v>69</v>
      </c>
      <c r="C27" s="45"/>
      <c r="D27" s="33"/>
      <c r="E27" s="33"/>
      <c r="F27" s="33"/>
      <c r="G27" s="33"/>
      <c r="H27" s="33"/>
      <c r="I27" s="33"/>
      <c r="J27" s="33"/>
      <c r="K27" s="33"/>
      <c r="L27" s="33"/>
      <c r="M27" s="33"/>
      <c r="N27" s="33"/>
      <c r="O27" s="33"/>
      <c r="P27" s="33"/>
      <c r="Q27" s="33"/>
      <c r="R27" s="33"/>
      <c r="S27" s="33"/>
    </row>
    <row r="28" spans="1:19" x14ac:dyDescent="0.3">
      <c r="A28" s="42"/>
      <c r="B28" s="8" t="s">
        <v>68</v>
      </c>
      <c r="C28" s="46"/>
      <c r="D28" s="33"/>
      <c r="E28" s="33"/>
      <c r="F28" s="33"/>
      <c r="G28" s="33"/>
      <c r="H28" s="33"/>
      <c r="I28" s="33"/>
      <c r="J28" s="33"/>
      <c r="K28" s="33"/>
      <c r="L28" s="33"/>
      <c r="M28" s="33"/>
      <c r="N28" s="33"/>
      <c r="O28" s="33"/>
      <c r="P28" s="33"/>
      <c r="Q28" s="33"/>
      <c r="R28" s="33"/>
      <c r="S28" s="33"/>
    </row>
    <row r="29" spans="1:19" x14ac:dyDescent="0.3">
      <c r="A29" s="43" t="s">
        <v>44</v>
      </c>
      <c r="B29" s="6" t="s">
        <v>67</v>
      </c>
      <c r="C29" s="44" t="s">
        <v>41</v>
      </c>
      <c r="D29" s="33"/>
      <c r="E29" s="33"/>
      <c r="F29" s="33"/>
      <c r="G29" s="33"/>
      <c r="H29" s="33"/>
      <c r="I29" s="33"/>
      <c r="J29" s="33"/>
      <c r="K29" s="33"/>
      <c r="L29" s="33"/>
      <c r="M29" s="33"/>
      <c r="N29" s="33"/>
      <c r="O29" s="33"/>
      <c r="P29" s="33"/>
      <c r="Q29" s="33"/>
      <c r="R29" s="33"/>
      <c r="S29" s="33"/>
    </row>
    <row r="30" spans="1:19" x14ac:dyDescent="0.3">
      <c r="A30" s="43"/>
      <c r="B30" s="7" t="s">
        <v>69</v>
      </c>
      <c r="C30" s="45"/>
      <c r="D30" s="33"/>
      <c r="E30" s="33"/>
      <c r="F30" s="33"/>
      <c r="G30" s="33"/>
      <c r="H30" s="33"/>
      <c r="I30" s="33"/>
      <c r="J30" s="33"/>
      <c r="K30" s="33"/>
      <c r="L30" s="33"/>
      <c r="M30" s="33"/>
      <c r="N30" s="33"/>
      <c r="O30" s="33"/>
      <c r="P30" s="33"/>
      <c r="Q30" s="33"/>
      <c r="R30" s="33"/>
      <c r="S30" s="33"/>
    </row>
    <row r="31" spans="1:19" x14ac:dyDescent="0.3">
      <c r="A31" s="43"/>
      <c r="B31" s="8" t="s">
        <v>68</v>
      </c>
      <c r="C31" s="46"/>
      <c r="D31" s="33"/>
      <c r="E31" s="33"/>
      <c r="F31" s="33"/>
      <c r="G31" s="33"/>
      <c r="H31" s="33"/>
      <c r="I31" s="33"/>
      <c r="J31" s="33"/>
      <c r="K31" s="33"/>
      <c r="L31" s="33"/>
      <c r="M31" s="33"/>
      <c r="N31" s="33"/>
      <c r="O31" s="33"/>
      <c r="P31" s="33"/>
      <c r="Q31" s="33"/>
      <c r="R31" s="33"/>
      <c r="S31" s="33"/>
    </row>
    <row r="32" spans="1:19" x14ac:dyDescent="0.3">
      <c r="A32" s="43"/>
      <c r="B32" s="6" t="s">
        <v>67</v>
      </c>
      <c r="C32" s="44" t="s">
        <v>42</v>
      </c>
      <c r="D32" s="33"/>
      <c r="E32" s="33"/>
      <c r="F32" s="33"/>
      <c r="G32" s="33"/>
      <c r="H32" s="33"/>
      <c r="I32" s="33"/>
      <c r="J32" s="33"/>
      <c r="K32" s="33"/>
      <c r="L32" s="33"/>
      <c r="M32" s="33"/>
      <c r="N32" s="33"/>
      <c r="O32" s="33"/>
      <c r="P32" s="33"/>
      <c r="Q32" s="33"/>
      <c r="R32" s="33"/>
      <c r="S32" s="33"/>
    </row>
    <row r="33" spans="1:19" x14ac:dyDescent="0.3">
      <c r="A33" s="43"/>
      <c r="B33" s="7" t="s">
        <v>69</v>
      </c>
      <c r="C33" s="45"/>
      <c r="D33" s="33"/>
      <c r="E33" s="33"/>
      <c r="F33" s="33"/>
      <c r="G33" s="33"/>
      <c r="H33" s="33"/>
      <c r="I33" s="33"/>
      <c r="J33" s="33"/>
      <c r="K33" s="33"/>
      <c r="L33" s="33"/>
      <c r="M33" s="33"/>
      <c r="N33" s="33"/>
      <c r="O33" s="33"/>
      <c r="P33" s="33"/>
      <c r="Q33" s="33"/>
      <c r="R33" s="33"/>
      <c r="S33" s="33"/>
    </row>
    <row r="34" spans="1:19" x14ac:dyDescent="0.3">
      <c r="A34" s="43"/>
      <c r="B34" s="8" t="s">
        <v>68</v>
      </c>
      <c r="C34" s="46"/>
      <c r="D34" s="33"/>
      <c r="E34" s="33"/>
      <c r="F34" s="33"/>
      <c r="G34" s="33"/>
      <c r="H34" s="33"/>
      <c r="I34" s="33"/>
      <c r="J34" s="33"/>
      <c r="K34" s="33"/>
      <c r="L34" s="33"/>
      <c r="M34" s="33"/>
      <c r="N34" s="33"/>
      <c r="O34" s="33"/>
      <c r="P34" s="33"/>
      <c r="Q34" s="33"/>
      <c r="R34" s="33"/>
      <c r="S34" s="33"/>
    </row>
  </sheetData>
  <mergeCells count="15">
    <mergeCell ref="A1:C1"/>
    <mergeCell ref="A2:A4"/>
    <mergeCell ref="A5:A7"/>
    <mergeCell ref="A8:A10"/>
    <mergeCell ref="A11:A13"/>
    <mergeCell ref="A29:A34"/>
    <mergeCell ref="C29:C31"/>
    <mergeCell ref="C32:C34"/>
    <mergeCell ref="A14:A16"/>
    <mergeCell ref="A17:A22"/>
    <mergeCell ref="C17:C19"/>
    <mergeCell ref="C20:C22"/>
    <mergeCell ref="A23:A28"/>
    <mergeCell ref="C23:C25"/>
    <mergeCell ref="C26:C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0AB55-EC4C-449A-867B-1D5EF323C674}">
  <dimension ref="A1:Q90"/>
  <sheetViews>
    <sheetView topLeftCell="A34" workbookViewId="0">
      <selection activeCell="F53" sqref="F53"/>
    </sheetView>
  </sheetViews>
  <sheetFormatPr baseColWidth="10" defaultColWidth="8.88671875" defaultRowHeight="14.4" x14ac:dyDescent="0.3"/>
  <cols>
    <col min="1" max="1" width="14" bestFit="1" customWidth="1"/>
    <col min="2" max="2" width="14" customWidth="1"/>
    <col min="3" max="3" width="19.88671875" customWidth="1"/>
    <col min="4" max="4" width="54.44140625" customWidth="1"/>
    <col min="5" max="5" width="31.77734375" customWidth="1"/>
    <col min="6" max="6" width="53.44140625" customWidth="1"/>
    <col min="7" max="7" width="45.6640625" customWidth="1"/>
    <col min="8" max="8" width="37.21875" bestFit="1" customWidth="1"/>
    <col min="9" max="9" width="21.109375" bestFit="1" customWidth="1"/>
    <col min="10" max="11" width="38.109375" customWidth="1"/>
    <col min="12" max="12" width="40.109375" customWidth="1"/>
    <col min="13" max="13" width="31.109375" bestFit="1" customWidth="1"/>
    <col min="14" max="14" width="16.109375" bestFit="1" customWidth="1"/>
    <col min="15" max="15" width="12.21875" bestFit="1" customWidth="1"/>
    <col min="16" max="16" width="33" bestFit="1" customWidth="1"/>
    <col min="17" max="17" width="15.5546875" customWidth="1"/>
  </cols>
  <sheetData>
    <row r="1" spans="1:13" x14ac:dyDescent="0.3">
      <c r="E1" s="4" t="s">
        <v>48</v>
      </c>
      <c r="F1" s="4" t="s">
        <v>49</v>
      </c>
      <c r="G1" s="4" t="s">
        <v>91</v>
      </c>
      <c r="H1" s="4" t="s">
        <v>92</v>
      </c>
      <c r="I1" s="4" t="s">
        <v>50</v>
      </c>
      <c r="J1" s="4" t="s">
        <v>17</v>
      </c>
      <c r="K1" s="4" t="s">
        <v>18</v>
      </c>
      <c r="L1" s="4" t="s">
        <v>51</v>
      </c>
    </row>
    <row r="2" spans="1:13" s="2" customFormat="1" x14ac:dyDescent="0.3">
      <c r="A2" s="43" t="s">
        <v>77</v>
      </c>
      <c r="B2" s="2" t="s">
        <v>67</v>
      </c>
      <c r="C2" s="43" t="s">
        <v>36</v>
      </c>
      <c r="D2" s="4"/>
      <c r="E2" s="2">
        <v>0</v>
      </c>
      <c r="F2" s="2">
        <v>0</v>
      </c>
      <c r="G2" s="2">
        <v>0</v>
      </c>
      <c r="H2" s="2">
        <v>0</v>
      </c>
      <c r="I2" s="2">
        <v>0</v>
      </c>
      <c r="J2" s="2">
        <v>0</v>
      </c>
      <c r="K2" s="2">
        <v>0</v>
      </c>
      <c r="M2" s="30"/>
    </row>
    <row r="3" spans="1:13" s="2" customFormat="1" x14ac:dyDescent="0.3">
      <c r="A3" s="43"/>
      <c r="B3" s="2" t="s">
        <v>69</v>
      </c>
      <c r="C3" s="43"/>
      <c r="D3" s="4"/>
      <c r="E3" s="2">
        <v>0</v>
      </c>
      <c r="F3" s="2">
        <v>0</v>
      </c>
      <c r="G3" s="2">
        <v>0</v>
      </c>
      <c r="H3" s="2">
        <v>0</v>
      </c>
      <c r="I3" s="2">
        <v>0</v>
      </c>
      <c r="J3" s="2">
        <v>0</v>
      </c>
      <c r="K3" s="2">
        <v>0</v>
      </c>
      <c r="M3" s="30"/>
    </row>
    <row r="4" spans="1:13" x14ac:dyDescent="0.3">
      <c r="A4" s="43"/>
      <c r="B4" s="8" t="s">
        <v>68</v>
      </c>
      <c r="C4" s="43"/>
      <c r="D4" s="9"/>
      <c r="E4" s="2">
        <v>0</v>
      </c>
      <c r="F4" s="2">
        <v>0</v>
      </c>
      <c r="G4" s="2">
        <v>0</v>
      </c>
      <c r="H4" s="2">
        <v>0</v>
      </c>
      <c r="I4" s="2">
        <v>0</v>
      </c>
      <c r="J4" s="2">
        <v>0</v>
      </c>
      <c r="K4" s="2">
        <v>0</v>
      </c>
      <c r="L4" s="2"/>
    </row>
    <row r="5" spans="1:13" x14ac:dyDescent="0.3">
      <c r="A5" s="43"/>
      <c r="B5" s="6" t="s">
        <v>67</v>
      </c>
      <c r="C5" s="43" t="s">
        <v>37</v>
      </c>
      <c r="D5" s="10"/>
      <c r="E5" s="2">
        <v>0</v>
      </c>
      <c r="F5" s="2">
        <v>0</v>
      </c>
      <c r="G5" s="2">
        <v>0</v>
      </c>
      <c r="H5" s="2">
        <v>0</v>
      </c>
      <c r="I5" s="2">
        <v>0</v>
      </c>
      <c r="J5" s="2">
        <v>0</v>
      </c>
      <c r="K5" s="2">
        <v>0</v>
      </c>
      <c r="L5" s="2"/>
    </row>
    <row r="6" spans="1:13" x14ac:dyDescent="0.3">
      <c r="A6" s="43"/>
      <c r="B6" s="7" t="s">
        <v>69</v>
      </c>
      <c r="C6" s="43"/>
      <c r="D6" s="10"/>
      <c r="E6" s="2">
        <v>0</v>
      </c>
      <c r="F6" s="2">
        <v>0</v>
      </c>
      <c r="G6" s="2">
        <v>0</v>
      </c>
      <c r="H6" s="2">
        <v>0</v>
      </c>
      <c r="I6" s="2">
        <v>0</v>
      </c>
      <c r="J6" s="2">
        <v>0</v>
      </c>
      <c r="K6" s="2">
        <v>0</v>
      </c>
      <c r="L6" s="2"/>
    </row>
    <row r="7" spans="1:13" x14ac:dyDescent="0.3">
      <c r="A7" s="43"/>
      <c r="B7" s="8" t="s">
        <v>68</v>
      </c>
      <c r="C7" s="43"/>
      <c r="D7" s="10"/>
      <c r="E7" s="2">
        <v>0</v>
      </c>
      <c r="F7" s="2">
        <v>0</v>
      </c>
      <c r="G7" s="2">
        <v>0</v>
      </c>
      <c r="H7" s="2">
        <v>0</v>
      </c>
      <c r="I7" s="2">
        <v>0</v>
      </c>
      <c r="J7" s="2">
        <v>0</v>
      </c>
      <c r="K7" s="2">
        <v>0</v>
      </c>
      <c r="L7" s="2"/>
    </row>
    <row r="8" spans="1:13" x14ac:dyDescent="0.3">
      <c r="A8" s="43"/>
      <c r="B8" s="6" t="s">
        <v>67</v>
      </c>
      <c r="C8" s="43" t="s">
        <v>38</v>
      </c>
      <c r="D8" s="10"/>
      <c r="E8" s="2">
        <v>0</v>
      </c>
      <c r="F8" s="2">
        <v>0</v>
      </c>
      <c r="G8" s="2">
        <v>0</v>
      </c>
      <c r="H8" s="2">
        <v>0</v>
      </c>
      <c r="I8" s="2">
        <v>0</v>
      </c>
      <c r="J8" s="2">
        <v>0</v>
      </c>
      <c r="K8" s="2">
        <v>0</v>
      </c>
      <c r="L8" s="2"/>
    </row>
    <row r="9" spans="1:13" x14ac:dyDescent="0.3">
      <c r="A9" s="43"/>
      <c r="B9" s="7" t="s">
        <v>69</v>
      </c>
      <c r="C9" s="43"/>
      <c r="D9" s="10"/>
      <c r="E9" s="2">
        <v>0</v>
      </c>
      <c r="F9" s="2">
        <v>0</v>
      </c>
      <c r="G9" s="2">
        <v>0</v>
      </c>
      <c r="H9" s="2">
        <v>0</v>
      </c>
      <c r="I9" s="2">
        <v>0</v>
      </c>
      <c r="J9" s="2">
        <v>0</v>
      </c>
      <c r="K9" s="2">
        <v>0</v>
      </c>
      <c r="L9" s="2"/>
    </row>
    <row r="10" spans="1:13" x14ac:dyDescent="0.3">
      <c r="A10" s="43"/>
      <c r="B10" s="8" t="s">
        <v>68</v>
      </c>
      <c r="C10" s="43"/>
      <c r="D10" s="10"/>
      <c r="E10" s="2">
        <v>0</v>
      </c>
      <c r="F10" s="2">
        <v>0</v>
      </c>
      <c r="G10" s="2">
        <v>0</v>
      </c>
      <c r="H10" s="2">
        <v>0</v>
      </c>
      <c r="I10" s="2">
        <v>0</v>
      </c>
      <c r="J10" s="2">
        <v>0</v>
      </c>
      <c r="K10" s="2">
        <v>0</v>
      </c>
      <c r="L10" s="2"/>
    </row>
    <row r="11" spans="1:13" x14ac:dyDescent="0.3">
      <c r="A11" s="43"/>
      <c r="B11" s="6" t="s">
        <v>67</v>
      </c>
      <c r="C11" s="43" t="s">
        <v>39</v>
      </c>
      <c r="D11" s="10"/>
      <c r="E11" s="2">
        <v>0</v>
      </c>
      <c r="F11" s="2">
        <v>0</v>
      </c>
      <c r="G11" s="2">
        <v>0</v>
      </c>
      <c r="H11" s="2">
        <v>0</v>
      </c>
      <c r="I11" s="2">
        <v>0</v>
      </c>
      <c r="J11" s="2">
        <v>0</v>
      </c>
      <c r="K11" s="2">
        <v>0</v>
      </c>
      <c r="L11" s="2"/>
    </row>
    <row r="12" spans="1:13" x14ac:dyDescent="0.3">
      <c r="A12" s="43"/>
      <c r="B12" s="7" t="s">
        <v>69</v>
      </c>
      <c r="C12" s="43"/>
      <c r="D12" s="10"/>
      <c r="E12" s="2">
        <v>0</v>
      </c>
      <c r="F12" s="2">
        <v>0</v>
      </c>
      <c r="G12" s="2">
        <v>0</v>
      </c>
      <c r="H12" s="2">
        <v>0</v>
      </c>
      <c r="I12" s="2">
        <v>0</v>
      </c>
      <c r="J12" s="2">
        <v>0</v>
      </c>
      <c r="K12" s="2">
        <v>0</v>
      </c>
      <c r="L12" s="2"/>
    </row>
    <row r="13" spans="1:13" x14ac:dyDescent="0.3">
      <c r="A13" s="43"/>
      <c r="B13" s="8" t="s">
        <v>68</v>
      </c>
      <c r="C13" s="43"/>
      <c r="D13" s="10"/>
      <c r="E13" s="2">
        <v>0</v>
      </c>
      <c r="F13" s="2">
        <v>0</v>
      </c>
      <c r="G13" s="2">
        <v>0</v>
      </c>
      <c r="H13" s="2">
        <v>0</v>
      </c>
      <c r="I13" s="2">
        <v>0</v>
      </c>
      <c r="J13" s="2">
        <v>0</v>
      </c>
      <c r="K13" s="2">
        <v>0</v>
      </c>
      <c r="L13" s="2"/>
    </row>
    <row r="14" spans="1:13" x14ac:dyDescent="0.3">
      <c r="A14" s="43"/>
      <c r="B14" s="6" t="s">
        <v>67</v>
      </c>
      <c r="C14" s="43" t="s">
        <v>40</v>
      </c>
      <c r="D14" s="10"/>
      <c r="E14" s="2">
        <v>0</v>
      </c>
      <c r="F14" s="2">
        <v>0</v>
      </c>
      <c r="G14" s="2">
        <v>0</v>
      </c>
      <c r="H14" s="2">
        <v>0</v>
      </c>
      <c r="I14" s="2">
        <v>0</v>
      </c>
      <c r="J14" s="2">
        <v>0</v>
      </c>
      <c r="K14" s="2">
        <v>0</v>
      </c>
      <c r="L14" s="2"/>
    </row>
    <row r="15" spans="1:13" x14ac:dyDescent="0.3">
      <c r="A15" s="43"/>
      <c r="B15" s="7" t="s">
        <v>69</v>
      </c>
      <c r="C15" s="43"/>
      <c r="D15" s="10"/>
      <c r="E15" s="2">
        <v>0</v>
      </c>
      <c r="F15" s="2">
        <v>0</v>
      </c>
      <c r="G15" s="2">
        <v>0</v>
      </c>
      <c r="H15" s="2">
        <v>0</v>
      </c>
      <c r="I15" s="2">
        <v>0</v>
      </c>
      <c r="J15" s="2">
        <v>0</v>
      </c>
      <c r="K15" s="2">
        <v>0</v>
      </c>
      <c r="L15" s="2"/>
    </row>
    <row r="16" spans="1:13" x14ac:dyDescent="0.3">
      <c r="A16" s="43"/>
      <c r="B16" s="8" t="s">
        <v>68</v>
      </c>
      <c r="C16" s="43"/>
      <c r="D16" s="10"/>
      <c r="E16" s="2">
        <v>0</v>
      </c>
      <c r="F16" s="2">
        <v>0</v>
      </c>
      <c r="G16" s="2">
        <v>0</v>
      </c>
      <c r="H16" s="2">
        <v>0</v>
      </c>
      <c r="I16" s="2">
        <v>0</v>
      </c>
      <c r="J16" s="2">
        <v>0</v>
      </c>
      <c r="K16" s="2">
        <v>0</v>
      </c>
      <c r="L16" s="2"/>
    </row>
    <row r="17" spans="1:12" x14ac:dyDescent="0.3">
      <c r="A17" s="43"/>
      <c r="B17" s="6" t="s">
        <v>67</v>
      </c>
      <c r="C17" s="40" t="s">
        <v>70</v>
      </c>
      <c r="D17" s="44" t="s">
        <v>73</v>
      </c>
      <c r="E17" s="2">
        <v>0</v>
      </c>
      <c r="F17" s="2">
        <v>0</v>
      </c>
      <c r="G17" s="2">
        <v>0</v>
      </c>
      <c r="H17" s="2">
        <v>0</v>
      </c>
      <c r="I17" s="2">
        <v>0</v>
      </c>
      <c r="J17" s="2">
        <v>0</v>
      </c>
      <c r="K17" s="2">
        <v>0</v>
      </c>
      <c r="L17" s="2"/>
    </row>
    <row r="18" spans="1:12" x14ac:dyDescent="0.3">
      <c r="A18" s="43"/>
      <c r="B18" s="7" t="s">
        <v>69</v>
      </c>
      <c r="C18" s="41"/>
      <c r="D18" s="45"/>
      <c r="E18" s="2">
        <v>0</v>
      </c>
      <c r="F18" s="2">
        <v>0</v>
      </c>
      <c r="G18" s="2">
        <v>0</v>
      </c>
      <c r="H18" s="2">
        <v>0</v>
      </c>
      <c r="I18" s="2">
        <v>0</v>
      </c>
      <c r="J18" s="2">
        <v>0</v>
      </c>
      <c r="K18" s="2">
        <v>0</v>
      </c>
      <c r="L18" s="2"/>
    </row>
    <row r="19" spans="1:12" x14ac:dyDescent="0.3">
      <c r="A19" s="43"/>
      <c r="B19" s="8" t="s">
        <v>68</v>
      </c>
      <c r="C19" s="41"/>
      <c r="D19" s="46"/>
      <c r="E19" s="2">
        <v>0</v>
      </c>
      <c r="F19" s="2">
        <v>0</v>
      </c>
      <c r="G19" s="2">
        <v>0</v>
      </c>
      <c r="H19" s="2">
        <v>0</v>
      </c>
      <c r="I19" s="2">
        <v>0</v>
      </c>
      <c r="J19" s="2">
        <v>0</v>
      </c>
      <c r="K19" s="2">
        <v>0</v>
      </c>
      <c r="L19" s="2"/>
    </row>
    <row r="20" spans="1:12" x14ac:dyDescent="0.3">
      <c r="A20" s="43"/>
      <c r="B20" s="6" t="s">
        <v>67</v>
      </c>
      <c r="C20" s="41"/>
      <c r="D20" s="44" t="s">
        <v>43</v>
      </c>
      <c r="E20" s="2">
        <v>0</v>
      </c>
      <c r="F20" s="2">
        <v>0</v>
      </c>
      <c r="G20" s="2">
        <v>0</v>
      </c>
      <c r="H20" s="2">
        <v>0</v>
      </c>
      <c r="I20" s="2">
        <v>0</v>
      </c>
      <c r="J20" s="2">
        <v>0</v>
      </c>
      <c r="K20" s="2">
        <v>0</v>
      </c>
      <c r="L20" s="2"/>
    </row>
    <row r="21" spans="1:12" x14ac:dyDescent="0.3">
      <c r="A21" s="43"/>
      <c r="B21" s="7" t="s">
        <v>69</v>
      </c>
      <c r="C21" s="41"/>
      <c r="D21" s="45"/>
      <c r="E21" s="2">
        <v>0</v>
      </c>
      <c r="F21" s="2">
        <v>0</v>
      </c>
      <c r="G21" s="2">
        <v>0</v>
      </c>
      <c r="H21" s="2">
        <v>0</v>
      </c>
      <c r="I21" s="2">
        <v>0</v>
      </c>
      <c r="J21" s="2">
        <v>0</v>
      </c>
      <c r="K21" s="2">
        <v>0</v>
      </c>
      <c r="L21" s="2"/>
    </row>
    <row r="22" spans="1:12" x14ac:dyDescent="0.3">
      <c r="A22" s="43"/>
      <c r="B22" s="8" t="s">
        <v>68</v>
      </c>
      <c r="C22" s="42"/>
      <c r="D22" s="46"/>
      <c r="E22" s="2">
        <v>0</v>
      </c>
      <c r="F22" s="2">
        <v>0</v>
      </c>
      <c r="G22" s="2">
        <v>0</v>
      </c>
      <c r="H22" s="2">
        <v>0</v>
      </c>
      <c r="I22" s="2">
        <v>0</v>
      </c>
      <c r="J22" s="2">
        <v>0</v>
      </c>
      <c r="K22" s="2">
        <v>0</v>
      </c>
      <c r="L22" s="2"/>
    </row>
    <row r="23" spans="1:12" x14ac:dyDescent="0.3">
      <c r="A23" s="43"/>
      <c r="B23" s="6" t="s">
        <v>67</v>
      </c>
      <c r="C23" s="40" t="s">
        <v>71</v>
      </c>
      <c r="D23" s="44" t="s">
        <v>72</v>
      </c>
      <c r="E23" s="2">
        <v>0</v>
      </c>
      <c r="F23" s="2">
        <v>0</v>
      </c>
      <c r="G23" s="2">
        <v>0</v>
      </c>
      <c r="H23" s="2">
        <v>0</v>
      </c>
      <c r="I23" s="2">
        <v>0</v>
      </c>
      <c r="J23" s="2">
        <v>0</v>
      </c>
      <c r="K23" s="2">
        <v>0</v>
      </c>
      <c r="L23" s="2"/>
    </row>
    <row r="24" spans="1:12" x14ac:dyDescent="0.3">
      <c r="A24" s="43"/>
      <c r="B24" s="7" t="s">
        <v>69</v>
      </c>
      <c r="C24" s="41"/>
      <c r="D24" s="45"/>
      <c r="E24" s="2">
        <v>0</v>
      </c>
      <c r="F24" s="2">
        <v>0</v>
      </c>
      <c r="G24" s="2">
        <v>0</v>
      </c>
      <c r="H24" s="2">
        <v>0</v>
      </c>
      <c r="I24" s="2">
        <v>0</v>
      </c>
      <c r="J24" s="2">
        <v>0</v>
      </c>
      <c r="K24" s="2">
        <v>0</v>
      </c>
      <c r="L24" s="2"/>
    </row>
    <row r="25" spans="1:12" x14ac:dyDescent="0.3">
      <c r="A25" s="43"/>
      <c r="B25" s="8" t="s">
        <v>68</v>
      </c>
      <c r="C25" s="41"/>
      <c r="D25" s="46"/>
      <c r="E25" s="2">
        <v>0</v>
      </c>
      <c r="F25" s="2">
        <v>0</v>
      </c>
      <c r="G25" s="2">
        <v>0</v>
      </c>
      <c r="H25" s="2">
        <v>0</v>
      </c>
      <c r="I25" s="2">
        <v>0</v>
      </c>
      <c r="J25" s="2">
        <v>0</v>
      </c>
      <c r="K25" s="2">
        <v>0</v>
      </c>
      <c r="L25" s="2"/>
    </row>
    <row r="26" spans="1:12" x14ac:dyDescent="0.3">
      <c r="A26" s="43"/>
      <c r="B26" s="6" t="s">
        <v>67</v>
      </c>
      <c r="C26" s="41"/>
      <c r="D26" s="44">
        <v>2050</v>
      </c>
      <c r="E26" s="2">
        <v>0</v>
      </c>
      <c r="F26" s="2">
        <v>0</v>
      </c>
      <c r="G26" s="2">
        <v>0</v>
      </c>
      <c r="H26" s="2">
        <v>0</v>
      </c>
      <c r="I26" s="2">
        <v>0</v>
      </c>
      <c r="J26" s="2">
        <v>0</v>
      </c>
      <c r="K26" s="2">
        <v>0</v>
      </c>
      <c r="L26" s="2"/>
    </row>
    <row r="27" spans="1:12" x14ac:dyDescent="0.3">
      <c r="A27" s="43"/>
      <c r="B27" s="7" t="s">
        <v>69</v>
      </c>
      <c r="C27" s="41"/>
      <c r="D27" s="45"/>
      <c r="E27" s="2">
        <v>0</v>
      </c>
      <c r="F27" s="2">
        <v>0</v>
      </c>
      <c r="G27" s="2">
        <v>0</v>
      </c>
      <c r="H27" s="2">
        <v>0</v>
      </c>
      <c r="I27" s="2">
        <v>0</v>
      </c>
      <c r="J27" s="2">
        <v>0</v>
      </c>
      <c r="K27" s="2">
        <v>0</v>
      </c>
      <c r="L27" s="2"/>
    </row>
    <row r="28" spans="1:12" x14ac:dyDescent="0.3">
      <c r="A28" s="43"/>
      <c r="B28" s="8" t="s">
        <v>68</v>
      </c>
      <c r="C28" s="42"/>
      <c r="D28" s="46"/>
      <c r="E28" s="2">
        <v>0</v>
      </c>
      <c r="F28" s="2">
        <v>0</v>
      </c>
      <c r="G28" s="2">
        <v>0</v>
      </c>
      <c r="H28" s="2">
        <v>0</v>
      </c>
      <c r="I28" s="2">
        <v>0</v>
      </c>
      <c r="J28" s="2">
        <v>0</v>
      </c>
      <c r="K28" s="2">
        <v>0</v>
      </c>
      <c r="L28" s="2"/>
    </row>
    <row r="29" spans="1:12" x14ac:dyDescent="0.3">
      <c r="A29" s="43"/>
      <c r="B29" s="6" t="s">
        <v>67</v>
      </c>
      <c r="C29" s="40" t="s">
        <v>44</v>
      </c>
      <c r="D29" s="44" t="s">
        <v>41</v>
      </c>
      <c r="E29" s="2">
        <v>0</v>
      </c>
      <c r="F29" s="2">
        <v>0</v>
      </c>
      <c r="G29" s="2">
        <v>0</v>
      </c>
      <c r="H29" s="2">
        <v>0</v>
      </c>
      <c r="I29" s="2">
        <v>0</v>
      </c>
      <c r="J29" s="2">
        <v>0</v>
      </c>
      <c r="K29" s="2">
        <v>0</v>
      </c>
      <c r="L29" s="2"/>
    </row>
    <row r="30" spans="1:12" x14ac:dyDescent="0.3">
      <c r="A30" s="43"/>
      <c r="B30" s="7" t="s">
        <v>69</v>
      </c>
      <c r="C30" s="41"/>
      <c r="D30" s="45"/>
      <c r="E30" s="2">
        <v>0</v>
      </c>
      <c r="F30" s="2">
        <v>0</v>
      </c>
      <c r="G30" s="2">
        <v>0</v>
      </c>
      <c r="H30" s="2">
        <v>0</v>
      </c>
      <c r="I30" s="2">
        <v>0</v>
      </c>
      <c r="J30" s="2">
        <v>0</v>
      </c>
      <c r="K30" s="2">
        <v>0</v>
      </c>
      <c r="L30" s="2"/>
    </row>
    <row r="31" spans="1:12" x14ac:dyDescent="0.3">
      <c r="A31" s="43"/>
      <c r="B31" s="8" t="s">
        <v>68</v>
      </c>
      <c r="C31" s="41"/>
      <c r="D31" s="46"/>
      <c r="E31" s="2">
        <v>0</v>
      </c>
      <c r="F31" s="2">
        <v>0</v>
      </c>
      <c r="G31" s="2">
        <v>0</v>
      </c>
      <c r="H31" s="2">
        <v>0</v>
      </c>
      <c r="I31" s="2">
        <v>0</v>
      </c>
      <c r="J31" s="2">
        <v>0</v>
      </c>
      <c r="K31" s="2">
        <v>0</v>
      </c>
      <c r="L31" s="2"/>
    </row>
    <row r="32" spans="1:12" x14ac:dyDescent="0.3">
      <c r="A32" s="43"/>
      <c r="B32" s="6" t="s">
        <v>67</v>
      </c>
      <c r="C32" s="41"/>
      <c r="D32" s="44" t="s">
        <v>42</v>
      </c>
      <c r="E32" s="2">
        <v>0</v>
      </c>
      <c r="F32" s="2">
        <v>0</v>
      </c>
      <c r="G32" s="2">
        <v>0</v>
      </c>
      <c r="H32" s="2">
        <v>0</v>
      </c>
      <c r="I32" s="2">
        <v>0</v>
      </c>
      <c r="J32" s="2">
        <v>0</v>
      </c>
      <c r="K32" s="2">
        <v>0</v>
      </c>
      <c r="L32" s="2"/>
    </row>
    <row r="33" spans="1:17" x14ac:dyDescent="0.3">
      <c r="A33" s="43"/>
      <c r="B33" s="7" t="s">
        <v>69</v>
      </c>
      <c r="C33" s="41"/>
      <c r="D33" s="45"/>
      <c r="E33" s="2">
        <v>0</v>
      </c>
      <c r="F33" s="2">
        <v>0</v>
      </c>
      <c r="G33" s="2">
        <v>0</v>
      </c>
      <c r="H33" s="2">
        <v>0</v>
      </c>
      <c r="I33" s="2">
        <v>0</v>
      </c>
      <c r="J33" s="2">
        <v>0</v>
      </c>
      <c r="K33" s="2">
        <v>0</v>
      </c>
      <c r="L33" s="2"/>
    </row>
    <row r="34" spans="1:17" x14ac:dyDescent="0.3">
      <c r="A34" s="43"/>
      <c r="B34" s="8" t="s">
        <v>68</v>
      </c>
      <c r="C34" s="42"/>
      <c r="D34" s="46"/>
      <c r="E34" s="2">
        <v>0</v>
      </c>
      <c r="F34" s="2">
        <v>0</v>
      </c>
      <c r="G34" s="2">
        <v>0</v>
      </c>
      <c r="H34" s="2">
        <v>0</v>
      </c>
      <c r="I34" s="2">
        <v>0</v>
      </c>
      <c r="J34" s="2">
        <v>0</v>
      </c>
      <c r="K34" s="2">
        <v>0</v>
      </c>
      <c r="L34" s="2"/>
    </row>
    <row r="35" spans="1:17" x14ac:dyDescent="0.3">
      <c r="A35" s="12" t="s">
        <v>88</v>
      </c>
      <c r="J35" s="11"/>
      <c r="K35" s="3"/>
    </row>
    <row r="36" spans="1:17" x14ac:dyDescent="0.3">
      <c r="J36" s="11"/>
      <c r="K36" s="3"/>
    </row>
    <row r="37" spans="1:17" x14ac:dyDescent="0.3">
      <c r="J37" s="11"/>
      <c r="K37" s="3"/>
    </row>
    <row r="38" spans="1:17" x14ac:dyDescent="0.3">
      <c r="A38" t="s">
        <v>79</v>
      </c>
      <c r="J38" s="11"/>
      <c r="K38" s="3"/>
    </row>
    <row r="39" spans="1:17" x14ac:dyDescent="0.3">
      <c r="A39" t="s">
        <v>90</v>
      </c>
      <c r="J39" s="11"/>
      <c r="K39" s="11"/>
    </row>
    <row r="40" spans="1:17" x14ac:dyDescent="0.3">
      <c r="A40" t="s">
        <v>89</v>
      </c>
      <c r="J40" s="11"/>
      <c r="K40" s="11"/>
    </row>
    <row r="41" spans="1:17" x14ac:dyDescent="0.3">
      <c r="A41" s="1" t="s">
        <v>77</v>
      </c>
      <c r="B41" s="1" t="s">
        <v>52</v>
      </c>
      <c r="C41" s="1" t="s">
        <v>53</v>
      </c>
      <c r="D41" s="1" t="s">
        <v>54</v>
      </c>
      <c r="E41" s="1" t="s">
        <v>55</v>
      </c>
      <c r="F41" s="1" t="s">
        <v>56</v>
      </c>
      <c r="G41" s="28" t="s">
        <v>57</v>
      </c>
      <c r="H41" s="29"/>
      <c r="I41" s="1" t="s">
        <v>58</v>
      </c>
      <c r="J41" s="1" t="s">
        <v>59</v>
      </c>
      <c r="K41" s="1" t="s">
        <v>60</v>
      </c>
      <c r="L41" s="1" t="s">
        <v>61</v>
      </c>
      <c r="M41" s="1" t="s">
        <v>62</v>
      </c>
      <c r="N41" s="1" t="s">
        <v>63</v>
      </c>
      <c r="O41" s="1" t="s">
        <v>64</v>
      </c>
      <c r="P41" s="1" t="s">
        <v>65</v>
      </c>
      <c r="Q41" s="1" t="s">
        <v>66</v>
      </c>
    </row>
    <row r="42" spans="1:17" x14ac:dyDescent="0.3">
      <c r="G42" s="16"/>
      <c r="L42" s="11"/>
      <c r="M42" s="11"/>
    </row>
    <row r="43" spans="1:17" x14ac:dyDescent="0.3">
      <c r="A43" s="13" t="s">
        <v>102</v>
      </c>
      <c r="L43" s="11"/>
      <c r="M43" s="11"/>
    </row>
    <row r="44" spans="1:17" x14ac:dyDescent="0.3">
      <c r="A44" s="13" t="s">
        <v>93</v>
      </c>
      <c r="L44" s="19" t="s">
        <v>117</v>
      </c>
      <c r="M44" s="11"/>
    </row>
    <row r="45" spans="1:17" x14ac:dyDescent="0.3">
      <c r="A45" s="48" t="s">
        <v>115</v>
      </c>
      <c r="B45" s="48"/>
      <c r="C45" s="50"/>
      <c r="D45" s="4" t="s">
        <v>48</v>
      </c>
      <c r="E45" s="4" t="s">
        <v>49</v>
      </c>
      <c r="F45" s="4" t="s">
        <v>91</v>
      </c>
      <c r="G45" s="37" t="s">
        <v>92</v>
      </c>
      <c r="H45" s="4" t="s">
        <v>50</v>
      </c>
      <c r="I45" s="4" t="s">
        <v>17</v>
      </c>
      <c r="J45" s="52" t="s">
        <v>18</v>
      </c>
      <c r="K45" s="53"/>
      <c r="L45" s="4" t="s">
        <v>96</v>
      </c>
      <c r="M45" s="4"/>
      <c r="N45" s="4"/>
      <c r="O45" s="4"/>
      <c r="P45" s="4"/>
    </row>
    <row r="46" spans="1:17" ht="43.2" x14ac:dyDescent="0.3">
      <c r="A46" s="47"/>
      <c r="B46" s="47"/>
      <c r="C46" s="51"/>
      <c r="D46" s="15" t="s">
        <v>108</v>
      </c>
      <c r="E46" s="15" t="s">
        <v>109</v>
      </c>
      <c r="F46" s="26" t="s">
        <v>110</v>
      </c>
      <c r="G46" s="17" t="s">
        <v>94</v>
      </c>
      <c r="H46" s="15" t="s">
        <v>111</v>
      </c>
      <c r="I46" s="15" t="s">
        <v>95</v>
      </c>
      <c r="J46" s="54" t="s">
        <v>114</v>
      </c>
      <c r="K46" s="55"/>
      <c r="L46" s="14" t="s">
        <v>112</v>
      </c>
      <c r="M46" s="11"/>
    </row>
    <row r="47" spans="1:17" x14ac:dyDescent="0.3">
      <c r="A47" s="43" t="s">
        <v>36</v>
      </c>
      <c r="B47" s="2" t="s">
        <v>67</v>
      </c>
      <c r="C47" s="27"/>
      <c r="D47" s="2" t="s">
        <v>13</v>
      </c>
      <c r="E47" s="16">
        <v>0</v>
      </c>
      <c r="F47" s="16" t="s">
        <v>6</v>
      </c>
      <c r="G47" s="38" t="s">
        <v>122</v>
      </c>
      <c r="H47" s="2">
        <v>0</v>
      </c>
      <c r="I47" s="4" t="s">
        <v>17</v>
      </c>
      <c r="J47" s="2" t="s">
        <v>19</v>
      </c>
      <c r="K47" s="2" t="s">
        <v>116</v>
      </c>
      <c r="L47" s="18"/>
      <c r="M47" s="11"/>
    </row>
    <row r="48" spans="1:17" x14ac:dyDescent="0.3">
      <c r="A48" s="43"/>
      <c r="B48" s="2" t="s">
        <v>69</v>
      </c>
      <c r="C48" s="27"/>
      <c r="D48" s="2" t="s">
        <v>13</v>
      </c>
      <c r="E48" s="16">
        <v>0</v>
      </c>
      <c r="F48" s="16" t="s">
        <v>6</v>
      </c>
      <c r="G48" s="38" t="s">
        <v>122</v>
      </c>
      <c r="H48" s="2">
        <v>0</v>
      </c>
      <c r="I48" s="4" t="s">
        <v>17</v>
      </c>
      <c r="J48" s="2" t="s">
        <v>19</v>
      </c>
      <c r="K48" s="2" t="s">
        <v>116</v>
      </c>
      <c r="L48" s="24"/>
      <c r="M48" s="11"/>
    </row>
    <row r="49" spans="1:13" x14ac:dyDescent="0.3">
      <c r="A49" s="43"/>
      <c r="B49" s="8" t="s">
        <v>68</v>
      </c>
      <c r="C49" s="27"/>
      <c r="D49" s="2" t="s">
        <v>13</v>
      </c>
      <c r="E49" s="16">
        <v>0</v>
      </c>
      <c r="F49" s="16" t="s">
        <v>6</v>
      </c>
      <c r="G49" s="38" t="s">
        <v>122</v>
      </c>
      <c r="H49" s="2">
        <v>0</v>
      </c>
      <c r="I49" s="4" t="s">
        <v>17</v>
      </c>
      <c r="J49" s="2" t="s">
        <v>19</v>
      </c>
      <c r="K49" s="2" t="s">
        <v>116</v>
      </c>
      <c r="L49" s="24"/>
      <c r="M49" s="11"/>
    </row>
    <row r="50" spans="1:13" x14ac:dyDescent="0.3">
      <c r="A50" s="43" t="s">
        <v>37</v>
      </c>
      <c r="B50" s="6" t="s">
        <v>67</v>
      </c>
      <c r="C50" s="27"/>
      <c r="D50" s="2" t="s">
        <v>12</v>
      </c>
      <c r="E50" s="16">
        <v>0</v>
      </c>
      <c r="F50" s="16" t="s">
        <v>8</v>
      </c>
      <c r="G50" s="38" t="s">
        <v>122</v>
      </c>
      <c r="H50" s="2">
        <v>0</v>
      </c>
      <c r="I50" s="4" t="s">
        <v>17</v>
      </c>
      <c r="J50" s="2" t="s">
        <v>19</v>
      </c>
      <c r="K50" s="2" t="s">
        <v>116</v>
      </c>
      <c r="L50" s="24"/>
      <c r="M50" s="11"/>
    </row>
    <row r="51" spans="1:13" x14ac:dyDescent="0.3">
      <c r="A51" s="43"/>
      <c r="B51" s="7" t="s">
        <v>69</v>
      </c>
      <c r="C51" s="27"/>
      <c r="D51" s="2" t="s">
        <v>12</v>
      </c>
      <c r="E51" s="16">
        <v>0</v>
      </c>
      <c r="F51" s="16" t="s">
        <v>8</v>
      </c>
      <c r="G51" s="38" t="s">
        <v>122</v>
      </c>
      <c r="H51" s="2">
        <v>0</v>
      </c>
      <c r="I51" s="4" t="s">
        <v>17</v>
      </c>
      <c r="J51" s="2" t="s">
        <v>19</v>
      </c>
      <c r="K51" s="2" t="s">
        <v>116</v>
      </c>
      <c r="L51" s="24"/>
      <c r="M51" s="48"/>
    </row>
    <row r="52" spans="1:13" x14ac:dyDescent="0.3">
      <c r="A52" s="43"/>
      <c r="B52" s="8" t="s">
        <v>68</v>
      </c>
      <c r="C52" s="27"/>
      <c r="D52" s="2" t="s">
        <v>12</v>
      </c>
      <c r="E52" s="16">
        <v>0</v>
      </c>
      <c r="F52" s="16" t="s">
        <v>8</v>
      </c>
      <c r="G52" s="38" t="s">
        <v>122</v>
      </c>
      <c r="H52" s="2">
        <v>0</v>
      </c>
      <c r="I52" s="4" t="s">
        <v>17</v>
      </c>
      <c r="J52" s="2" t="s">
        <v>19</v>
      </c>
      <c r="K52" s="2" t="s">
        <v>116</v>
      </c>
      <c r="L52" s="24"/>
      <c r="M52" s="48"/>
    </row>
    <row r="53" spans="1:13" x14ac:dyDescent="0.3">
      <c r="A53" s="43" t="s">
        <v>38</v>
      </c>
      <c r="B53" s="6" t="s">
        <v>67</v>
      </c>
      <c r="C53" s="27"/>
      <c r="D53" s="2" t="s">
        <v>13</v>
      </c>
      <c r="E53" s="16">
        <v>0</v>
      </c>
      <c r="F53" s="16" t="s">
        <v>9</v>
      </c>
      <c r="G53" s="38" t="s">
        <v>122</v>
      </c>
      <c r="H53" s="2">
        <v>0</v>
      </c>
      <c r="I53" s="4" t="s">
        <v>17</v>
      </c>
      <c r="J53" s="2" t="s">
        <v>19</v>
      </c>
      <c r="K53" s="2" t="s">
        <v>116</v>
      </c>
      <c r="L53" s="24"/>
      <c r="M53" s="48"/>
    </row>
    <row r="54" spans="1:13" x14ac:dyDescent="0.3">
      <c r="A54" s="43"/>
      <c r="B54" s="7" t="s">
        <v>69</v>
      </c>
      <c r="C54" s="27"/>
      <c r="D54" s="2" t="s">
        <v>13</v>
      </c>
      <c r="E54" s="16">
        <v>0</v>
      </c>
      <c r="F54" s="16" t="s">
        <v>9</v>
      </c>
      <c r="G54" s="38" t="s">
        <v>122</v>
      </c>
      <c r="H54" s="2">
        <v>0</v>
      </c>
      <c r="I54" s="4" t="s">
        <v>17</v>
      </c>
      <c r="J54" s="2" t="s">
        <v>19</v>
      </c>
      <c r="K54" s="2" t="s">
        <v>116</v>
      </c>
      <c r="L54" s="24"/>
      <c r="M54" s="48"/>
    </row>
    <row r="55" spans="1:13" x14ac:dyDescent="0.3">
      <c r="A55" s="43"/>
      <c r="B55" s="8" t="s">
        <v>68</v>
      </c>
      <c r="C55" s="27"/>
      <c r="D55" s="2" t="s">
        <v>13</v>
      </c>
      <c r="E55" s="16">
        <v>0</v>
      </c>
      <c r="F55" s="16" t="s">
        <v>9</v>
      </c>
      <c r="G55" s="38" t="s">
        <v>122</v>
      </c>
      <c r="H55" s="2">
        <v>0</v>
      </c>
      <c r="I55" s="4" t="s">
        <v>17</v>
      </c>
      <c r="J55" s="2" t="s">
        <v>19</v>
      </c>
      <c r="K55" s="2" t="s">
        <v>116</v>
      </c>
      <c r="L55" s="24"/>
      <c r="M55" s="48"/>
    </row>
    <row r="56" spans="1:13" x14ac:dyDescent="0.3">
      <c r="A56" s="43" t="s">
        <v>39</v>
      </c>
      <c r="B56" s="6" t="s">
        <v>67</v>
      </c>
      <c r="C56" s="27"/>
      <c r="D56" s="2" t="s">
        <v>13</v>
      </c>
      <c r="E56" s="16">
        <v>0</v>
      </c>
      <c r="F56" s="16" t="s">
        <v>7</v>
      </c>
      <c r="G56" s="38" t="s">
        <v>122</v>
      </c>
      <c r="H56" s="2">
        <v>0</v>
      </c>
      <c r="I56" s="4" t="s">
        <v>17</v>
      </c>
      <c r="J56" s="2" t="s">
        <v>19</v>
      </c>
      <c r="K56" s="2" t="s">
        <v>116</v>
      </c>
      <c r="L56" s="24"/>
      <c r="M56" s="48"/>
    </row>
    <row r="57" spans="1:13" x14ac:dyDescent="0.3">
      <c r="A57" s="43"/>
      <c r="B57" s="7" t="s">
        <v>69</v>
      </c>
      <c r="C57" s="27"/>
      <c r="D57" s="2" t="s">
        <v>13</v>
      </c>
      <c r="E57" s="16">
        <v>0</v>
      </c>
      <c r="F57" s="16" t="s">
        <v>7</v>
      </c>
      <c r="G57" s="38" t="s">
        <v>122</v>
      </c>
      <c r="H57" s="2">
        <v>0</v>
      </c>
      <c r="I57" s="4" t="s">
        <v>17</v>
      </c>
      <c r="J57" s="2" t="s">
        <v>19</v>
      </c>
      <c r="K57" s="2" t="s">
        <v>116</v>
      </c>
      <c r="L57" s="2"/>
    </row>
    <row r="58" spans="1:13" x14ac:dyDescent="0.3">
      <c r="A58" s="43"/>
      <c r="B58" s="8" t="s">
        <v>68</v>
      </c>
      <c r="C58" s="27"/>
      <c r="D58" s="2" t="s">
        <v>13</v>
      </c>
      <c r="E58" s="16">
        <v>0</v>
      </c>
      <c r="F58" s="16" t="s">
        <v>7</v>
      </c>
      <c r="G58" s="38" t="s">
        <v>122</v>
      </c>
      <c r="H58" s="2">
        <v>0</v>
      </c>
      <c r="I58" s="4" t="s">
        <v>17</v>
      </c>
      <c r="J58" s="2" t="s">
        <v>19</v>
      </c>
      <c r="K58" s="2" t="s">
        <v>116</v>
      </c>
      <c r="L58" s="2"/>
    </row>
    <row r="59" spans="1:13" x14ac:dyDescent="0.3">
      <c r="A59" s="43" t="s">
        <v>40</v>
      </c>
      <c r="B59" s="6" t="s">
        <v>67</v>
      </c>
      <c r="C59" s="27"/>
      <c r="D59" s="2" t="s">
        <v>13</v>
      </c>
      <c r="E59" s="2" t="s">
        <v>5</v>
      </c>
      <c r="F59" s="16" t="s">
        <v>6</v>
      </c>
      <c r="G59" s="38" t="s">
        <v>122</v>
      </c>
      <c r="H59" s="2">
        <v>0</v>
      </c>
      <c r="I59" s="4" t="s">
        <v>17</v>
      </c>
      <c r="J59" s="2" t="s">
        <v>19</v>
      </c>
      <c r="K59" s="2" t="s">
        <v>116</v>
      </c>
      <c r="L59" s="2"/>
    </row>
    <row r="60" spans="1:13" x14ac:dyDescent="0.3">
      <c r="A60" s="43"/>
      <c r="B60" s="7" t="s">
        <v>69</v>
      </c>
      <c r="C60" s="27"/>
      <c r="D60" s="2" t="s">
        <v>13</v>
      </c>
      <c r="E60" s="2" t="s">
        <v>5</v>
      </c>
      <c r="F60" s="16" t="s">
        <v>6</v>
      </c>
      <c r="G60" s="38" t="s">
        <v>122</v>
      </c>
      <c r="H60" s="2">
        <v>0</v>
      </c>
      <c r="I60" s="4" t="s">
        <v>17</v>
      </c>
      <c r="J60" s="2" t="s">
        <v>19</v>
      </c>
      <c r="K60" s="2" t="s">
        <v>116</v>
      </c>
      <c r="L60" s="2"/>
    </row>
    <row r="61" spans="1:13" x14ac:dyDescent="0.3">
      <c r="A61" s="43"/>
      <c r="B61" s="8" t="s">
        <v>68</v>
      </c>
      <c r="C61" s="27"/>
      <c r="D61" s="2" t="s">
        <v>13</v>
      </c>
      <c r="E61" s="2" t="s">
        <v>5</v>
      </c>
      <c r="F61" s="16" t="s">
        <v>6</v>
      </c>
      <c r="G61" s="38" t="s">
        <v>122</v>
      </c>
      <c r="H61" s="2">
        <v>0</v>
      </c>
      <c r="I61" s="4" t="s">
        <v>17</v>
      </c>
      <c r="J61" s="2" t="s">
        <v>19</v>
      </c>
      <c r="K61" s="2" t="s">
        <v>116</v>
      </c>
      <c r="L61" s="2"/>
    </row>
    <row r="62" spans="1:13" x14ac:dyDescent="0.3">
      <c r="A62" s="40" t="s">
        <v>70</v>
      </c>
      <c r="B62" s="6" t="s">
        <v>67</v>
      </c>
      <c r="C62" s="44" t="s">
        <v>73</v>
      </c>
      <c r="D62" s="2" t="s">
        <v>20</v>
      </c>
      <c r="E62" s="2" t="s">
        <v>5</v>
      </c>
      <c r="F62" s="15" t="s">
        <v>103</v>
      </c>
      <c r="G62" s="38" t="s">
        <v>122</v>
      </c>
      <c r="H62" s="2">
        <v>0</v>
      </c>
      <c r="I62" s="4" t="s">
        <v>17</v>
      </c>
      <c r="J62" s="2" t="s">
        <v>19</v>
      </c>
      <c r="K62" s="2" t="s">
        <v>116</v>
      </c>
      <c r="L62" s="2"/>
    </row>
    <row r="63" spans="1:13" x14ac:dyDescent="0.3">
      <c r="A63" s="41"/>
      <c r="B63" s="7" t="s">
        <v>69</v>
      </c>
      <c r="C63" s="45"/>
      <c r="D63" s="2" t="s">
        <v>20</v>
      </c>
      <c r="E63" s="2" t="s">
        <v>5</v>
      </c>
      <c r="F63" s="15" t="s">
        <v>103</v>
      </c>
      <c r="G63" s="38" t="s">
        <v>122</v>
      </c>
      <c r="H63" s="2">
        <v>0</v>
      </c>
      <c r="I63" s="4" t="s">
        <v>17</v>
      </c>
      <c r="J63" s="2" t="s">
        <v>19</v>
      </c>
      <c r="K63" s="2" t="s">
        <v>116</v>
      </c>
      <c r="L63" s="2"/>
    </row>
    <row r="64" spans="1:13" x14ac:dyDescent="0.3">
      <c r="A64" s="41"/>
      <c r="B64" s="8" t="s">
        <v>68</v>
      </c>
      <c r="C64" s="46"/>
      <c r="D64" s="2" t="s">
        <v>20</v>
      </c>
      <c r="E64" s="2" t="s">
        <v>5</v>
      </c>
      <c r="F64" s="15" t="s">
        <v>103</v>
      </c>
      <c r="G64" s="38" t="s">
        <v>122</v>
      </c>
      <c r="H64" s="2">
        <v>0</v>
      </c>
      <c r="I64" s="4" t="s">
        <v>17</v>
      </c>
      <c r="J64" s="2" t="s">
        <v>19</v>
      </c>
      <c r="K64" s="2" t="s">
        <v>116</v>
      </c>
      <c r="L64" s="2"/>
    </row>
    <row r="65" spans="1:12" x14ac:dyDescent="0.3">
      <c r="A65" s="41"/>
      <c r="B65" s="6" t="s">
        <v>67</v>
      </c>
      <c r="C65" s="44" t="s">
        <v>43</v>
      </c>
      <c r="D65" s="2" t="s">
        <v>20</v>
      </c>
      <c r="E65" s="2" t="s">
        <v>5</v>
      </c>
      <c r="F65" s="15" t="s">
        <v>104</v>
      </c>
      <c r="G65" s="38" t="s">
        <v>122</v>
      </c>
      <c r="H65" s="2">
        <v>0</v>
      </c>
      <c r="I65" s="4" t="s">
        <v>17</v>
      </c>
      <c r="J65" s="2" t="s">
        <v>19</v>
      </c>
      <c r="K65" s="2" t="s">
        <v>116</v>
      </c>
      <c r="L65" s="2"/>
    </row>
    <row r="66" spans="1:12" x14ac:dyDescent="0.3">
      <c r="A66" s="41"/>
      <c r="B66" s="7" t="s">
        <v>69</v>
      </c>
      <c r="C66" s="45"/>
      <c r="D66" s="2" t="s">
        <v>20</v>
      </c>
      <c r="E66" s="2" t="s">
        <v>5</v>
      </c>
      <c r="F66" s="15" t="s">
        <v>104</v>
      </c>
      <c r="G66" s="38" t="s">
        <v>122</v>
      </c>
      <c r="H66" s="2">
        <v>0</v>
      </c>
      <c r="I66" s="4" t="s">
        <v>17</v>
      </c>
      <c r="J66" s="2" t="s">
        <v>19</v>
      </c>
      <c r="K66" s="2" t="s">
        <v>116</v>
      </c>
      <c r="L66" s="2"/>
    </row>
    <row r="67" spans="1:12" x14ac:dyDescent="0.3">
      <c r="A67" s="42"/>
      <c r="B67" s="8" t="s">
        <v>68</v>
      </c>
      <c r="C67" s="46"/>
      <c r="D67" s="2" t="s">
        <v>20</v>
      </c>
      <c r="E67" s="2" t="s">
        <v>5</v>
      </c>
      <c r="F67" s="15" t="s">
        <v>104</v>
      </c>
      <c r="G67" s="38" t="s">
        <v>122</v>
      </c>
      <c r="H67" s="2">
        <v>0</v>
      </c>
      <c r="I67" s="4" t="s">
        <v>17</v>
      </c>
      <c r="J67" s="2" t="s">
        <v>19</v>
      </c>
      <c r="K67" s="2" t="s">
        <v>116</v>
      </c>
      <c r="L67" s="2"/>
    </row>
    <row r="68" spans="1:12" x14ac:dyDescent="0.3">
      <c r="A68" s="40" t="s">
        <v>71</v>
      </c>
      <c r="B68" s="6" t="s">
        <v>67</v>
      </c>
      <c r="C68" s="44" t="s">
        <v>72</v>
      </c>
      <c r="D68" s="2" t="s">
        <v>11</v>
      </c>
      <c r="E68" s="2" t="s">
        <v>5</v>
      </c>
      <c r="F68" s="24" t="s">
        <v>105</v>
      </c>
      <c r="G68" s="38" t="s">
        <v>123</v>
      </c>
      <c r="H68" s="2">
        <v>0</v>
      </c>
      <c r="I68" s="4" t="s">
        <v>17</v>
      </c>
      <c r="J68" s="2" t="s">
        <v>19</v>
      </c>
      <c r="K68" s="2" t="s">
        <v>116</v>
      </c>
      <c r="L68" s="2"/>
    </row>
    <row r="69" spans="1:12" x14ac:dyDescent="0.3">
      <c r="A69" s="41"/>
      <c r="B69" s="7" t="s">
        <v>69</v>
      </c>
      <c r="C69" s="45"/>
      <c r="D69" s="2" t="s">
        <v>11</v>
      </c>
      <c r="E69" s="2" t="s">
        <v>5</v>
      </c>
      <c r="F69" s="24" t="s">
        <v>105</v>
      </c>
      <c r="G69" s="38" t="s">
        <v>123</v>
      </c>
      <c r="H69" s="2">
        <v>0</v>
      </c>
      <c r="I69" s="4" t="s">
        <v>17</v>
      </c>
      <c r="J69" s="2" t="s">
        <v>19</v>
      </c>
      <c r="K69" s="2" t="s">
        <v>116</v>
      </c>
      <c r="L69" s="2"/>
    </row>
    <row r="70" spans="1:12" x14ac:dyDescent="0.3">
      <c r="A70" s="41"/>
      <c r="B70" s="8" t="s">
        <v>68</v>
      </c>
      <c r="C70" s="46"/>
      <c r="D70" s="2" t="s">
        <v>11</v>
      </c>
      <c r="E70" s="2" t="s">
        <v>5</v>
      </c>
      <c r="F70" s="24" t="s">
        <v>105</v>
      </c>
      <c r="G70" s="38" t="s">
        <v>123</v>
      </c>
      <c r="H70" s="2">
        <v>0</v>
      </c>
      <c r="I70" s="4" t="s">
        <v>17</v>
      </c>
      <c r="J70" s="2" t="s">
        <v>19</v>
      </c>
      <c r="K70" s="2" t="s">
        <v>116</v>
      </c>
      <c r="L70" s="2"/>
    </row>
    <row r="71" spans="1:12" x14ac:dyDescent="0.3">
      <c r="A71" s="41"/>
      <c r="B71" s="6" t="s">
        <v>67</v>
      </c>
      <c r="C71" s="44">
        <v>2050</v>
      </c>
      <c r="D71" s="2" t="s">
        <v>11</v>
      </c>
      <c r="E71" s="2" t="s">
        <v>5</v>
      </c>
      <c r="F71" s="24" t="s">
        <v>22</v>
      </c>
      <c r="G71" s="38" t="s">
        <v>123</v>
      </c>
      <c r="H71" s="2">
        <v>0</v>
      </c>
      <c r="I71" s="4" t="s">
        <v>17</v>
      </c>
      <c r="J71" s="2" t="s">
        <v>19</v>
      </c>
      <c r="K71" s="2" t="s">
        <v>116</v>
      </c>
      <c r="L71" s="2"/>
    </row>
    <row r="72" spans="1:12" x14ac:dyDescent="0.3">
      <c r="A72" s="41"/>
      <c r="B72" s="7" t="s">
        <v>69</v>
      </c>
      <c r="C72" s="45"/>
      <c r="D72" s="2" t="s">
        <v>11</v>
      </c>
      <c r="E72" s="2" t="s">
        <v>5</v>
      </c>
      <c r="F72" s="24" t="s">
        <v>106</v>
      </c>
      <c r="G72" s="38" t="s">
        <v>123</v>
      </c>
      <c r="H72" s="2">
        <v>0</v>
      </c>
      <c r="I72" s="4" t="s">
        <v>17</v>
      </c>
      <c r="J72" s="2" t="s">
        <v>19</v>
      </c>
      <c r="K72" s="2" t="s">
        <v>116</v>
      </c>
      <c r="L72" s="2"/>
    </row>
    <row r="73" spans="1:12" x14ac:dyDescent="0.3">
      <c r="A73" s="42"/>
      <c r="B73" s="8" t="s">
        <v>68</v>
      </c>
      <c r="C73" s="46"/>
      <c r="D73" s="2" t="s">
        <v>11</v>
      </c>
      <c r="E73" s="2" t="s">
        <v>5</v>
      </c>
      <c r="F73" s="24" t="s">
        <v>107</v>
      </c>
      <c r="G73" s="38" t="s">
        <v>123</v>
      </c>
      <c r="H73" s="2">
        <v>0</v>
      </c>
      <c r="I73" s="4" t="s">
        <v>17</v>
      </c>
      <c r="J73" s="2" t="s">
        <v>19</v>
      </c>
      <c r="K73" s="2" t="s">
        <v>116</v>
      </c>
      <c r="L73" s="2"/>
    </row>
    <row r="74" spans="1:12" x14ac:dyDescent="0.3">
      <c r="A74" s="43" t="s">
        <v>44</v>
      </c>
      <c r="B74" s="6" t="s">
        <v>67</v>
      </c>
      <c r="C74" s="44" t="s">
        <v>41</v>
      </c>
      <c r="D74" s="2" t="s">
        <v>24</v>
      </c>
      <c r="E74" s="24">
        <v>0</v>
      </c>
      <c r="F74" s="24" t="s">
        <v>25</v>
      </c>
      <c r="G74" s="38" t="s">
        <v>123</v>
      </c>
      <c r="H74" s="24" t="s">
        <v>113</v>
      </c>
      <c r="I74" s="4" t="s">
        <v>17</v>
      </c>
      <c r="J74" s="2" t="s">
        <v>19</v>
      </c>
      <c r="K74" s="2" t="s">
        <v>116</v>
      </c>
      <c r="L74" s="2"/>
    </row>
    <row r="75" spans="1:12" x14ac:dyDescent="0.3">
      <c r="A75" s="43"/>
      <c r="B75" s="7" t="s">
        <v>69</v>
      </c>
      <c r="C75" s="45"/>
      <c r="D75" s="2" t="s">
        <v>24</v>
      </c>
      <c r="E75" s="24">
        <v>0</v>
      </c>
      <c r="F75" s="24" t="s">
        <v>25</v>
      </c>
      <c r="G75" s="38" t="s">
        <v>123</v>
      </c>
      <c r="H75" s="24" t="s">
        <v>113</v>
      </c>
      <c r="I75" s="4" t="s">
        <v>17</v>
      </c>
      <c r="J75" s="2" t="s">
        <v>19</v>
      </c>
      <c r="K75" s="2" t="s">
        <v>116</v>
      </c>
      <c r="L75" s="2"/>
    </row>
    <row r="76" spans="1:12" x14ac:dyDescent="0.3">
      <c r="A76" s="43"/>
      <c r="B76" s="8" t="s">
        <v>68</v>
      </c>
      <c r="C76" s="46"/>
      <c r="D76" s="2" t="s">
        <v>24</v>
      </c>
      <c r="E76" s="24">
        <v>0</v>
      </c>
      <c r="F76" s="24" t="s">
        <v>25</v>
      </c>
      <c r="G76" s="38" t="s">
        <v>123</v>
      </c>
      <c r="H76" s="24" t="s">
        <v>113</v>
      </c>
      <c r="I76" s="4" t="s">
        <v>17</v>
      </c>
      <c r="J76" s="2" t="s">
        <v>19</v>
      </c>
      <c r="K76" s="2" t="s">
        <v>116</v>
      </c>
      <c r="L76" s="2"/>
    </row>
    <row r="77" spans="1:12" x14ac:dyDescent="0.3">
      <c r="A77" s="43"/>
      <c r="B77" s="6" t="s">
        <v>67</v>
      </c>
      <c r="C77" s="44" t="s">
        <v>42</v>
      </c>
      <c r="D77" s="2" t="s">
        <v>24</v>
      </c>
      <c r="E77" s="24">
        <v>0</v>
      </c>
      <c r="F77" s="24" t="s">
        <v>26</v>
      </c>
      <c r="G77" s="38" t="s">
        <v>123</v>
      </c>
      <c r="H77" s="24" t="s">
        <v>113</v>
      </c>
      <c r="I77" s="4" t="s">
        <v>17</v>
      </c>
      <c r="J77" s="2" t="s">
        <v>19</v>
      </c>
      <c r="K77" s="2" t="s">
        <v>116</v>
      </c>
      <c r="L77" s="2"/>
    </row>
    <row r="78" spans="1:12" x14ac:dyDescent="0.3">
      <c r="A78" s="43"/>
      <c r="B78" s="7" t="s">
        <v>69</v>
      </c>
      <c r="C78" s="45"/>
      <c r="D78" s="2" t="s">
        <v>24</v>
      </c>
      <c r="E78" s="24">
        <v>0</v>
      </c>
      <c r="F78" s="24" t="s">
        <v>26</v>
      </c>
      <c r="G78" s="38" t="s">
        <v>123</v>
      </c>
      <c r="H78" s="24" t="s">
        <v>113</v>
      </c>
      <c r="I78" s="4" t="s">
        <v>17</v>
      </c>
      <c r="J78" s="2" t="s">
        <v>19</v>
      </c>
      <c r="K78" s="2" t="s">
        <v>116</v>
      </c>
      <c r="L78" s="2"/>
    </row>
    <row r="79" spans="1:12" x14ac:dyDescent="0.3">
      <c r="A79" s="43"/>
      <c r="B79" s="8" t="s">
        <v>68</v>
      </c>
      <c r="C79" s="46"/>
      <c r="D79" s="2" t="s">
        <v>24</v>
      </c>
      <c r="E79" s="24">
        <v>0</v>
      </c>
      <c r="F79" s="24" t="s">
        <v>26</v>
      </c>
      <c r="G79" s="38" t="s">
        <v>123</v>
      </c>
      <c r="H79" s="24" t="s">
        <v>113</v>
      </c>
      <c r="I79" s="4" t="s">
        <v>17</v>
      </c>
      <c r="J79" s="2" t="s">
        <v>19</v>
      </c>
      <c r="K79" s="2" t="s">
        <v>116</v>
      </c>
      <c r="L79" s="2"/>
    </row>
    <row r="80" spans="1:12" x14ac:dyDescent="0.3">
      <c r="E80" s="22"/>
      <c r="F80" s="25"/>
    </row>
    <row r="81" spans="5:6" x14ac:dyDescent="0.3">
      <c r="E81" s="22"/>
      <c r="F81" s="25"/>
    </row>
    <row r="82" spans="5:6" x14ac:dyDescent="0.3">
      <c r="E82" s="22"/>
      <c r="F82" s="25"/>
    </row>
    <row r="83" spans="5:6" x14ac:dyDescent="0.3">
      <c r="E83" s="22"/>
      <c r="F83" s="25"/>
    </row>
    <row r="84" spans="5:6" x14ac:dyDescent="0.3">
      <c r="E84" s="23"/>
      <c r="F84" s="25"/>
    </row>
    <row r="85" spans="5:6" x14ac:dyDescent="0.3">
      <c r="E85" s="49"/>
      <c r="F85" s="25"/>
    </row>
    <row r="86" spans="5:6" x14ac:dyDescent="0.3">
      <c r="E86" s="50"/>
      <c r="F86" s="25"/>
    </row>
    <row r="87" spans="5:6" x14ac:dyDescent="0.3">
      <c r="E87" s="50"/>
      <c r="F87" s="25"/>
    </row>
    <row r="88" spans="5:6" x14ac:dyDescent="0.3">
      <c r="E88" s="50"/>
      <c r="F88" s="25"/>
    </row>
    <row r="89" spans="5:6" x14ac:dyDescent="0.3">
      <c r="E89" s="50"/>
      <c r="F89" s="25"/>
    </row>
    <row r="90" spans="5:6" x14ac:dyDescent="0.3">
      <c r="E90" s="51"/>
    </row>
  </sheetData>
  <mergeCells count="35">
    <mergeCell ref="J45:K45"/>
    <mergeCell ref="J46:K46"/>
    <mergeCell ref="C29:C34"/>
    <mergeCell ref="A45:C46"/>
    <mergeCell ref="D17:D19"/>
    <mergeCell ref="D20:D22"/>
    <mergeCell ref="C23:C28"/>
    <mergeCell ref="D23:D25"/>
    <mergeCell ref="D26:D28"/>
    <mergeCell ref="C5:C7"/>
    <mergeCell ref="C8:C10"/>
    <mergeCell ref="C11:C13"/>
    <mergeCell ref="C14:C16"/>
    <mergeCell ref="C17:C22"/>
    <mergeCell ref="A2:A34"/>
    <mergeCell ref="M51:M53"/>
    <mergeCell ref="E85:E90"/>
    <mergeCell ref="A47:A49"/>
    <mergeCell ref="A50:A52"/>
    <mergeCell ref="A53:A55"/>
    <mergeCell ref="A56:A58"/>
    <mergeCell ref="A59:A61"/>
    <mergeCell ref="A62:A67"/>
    <mergeCell ref="A68:A73"/>
    <mergeCell ref="A74:A79"/>
    <mergeCell ref="C62:C64"/>
    <mergeCell ref="C65:C67"/>
    <mergeCell ref="C68:C70"/>
    <mergeCell ref="M54:M56"/>
    <mergeCell ref="C2:C4"/>
    <mergeCell ref="C71:C73"/>
    <mergeCell ref="C74:C76"/>
    <mergeCell ref="C77:C79"/>
    <mergeCell ref="D29:D31"/>
    <mergeCell ref="D32:D34"/>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CA8CF-C794-4F64-B8FF-076CB5E79407}">
  <dimension ref="A1"/>
  <sheetViews>
    <sheetView workbookViewId="0">
      <selection activeCell="F44" sqref="F44"/>
    </sheetView>
  </sheetViews>
  <sheetFormatPr baseColWidth="10" defaultColWidth="8.88671875"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363C3-7514-4141-8E82-8E2B2A7D183A}">
  <dimension ref="A1:C67"/>
  <sheetViews>
    <sheetView topLeftCell="C16" workbookViewId="0">
      <selection activeCell="C34" sqref="C34"/>
    </sheetView>
  </sheetViews>
  <sheetFormatPr baseColWidth="10" defaultColWidth="8.88671875" defaultRowHeight="14.4" x14ac:dyDescent="0.3"/>
  <cols>
    <col min="1" max="1" width="55.33203125" customWidth="1"/>
    <col min="2" max="2" width="16.33203125" bestFit="1" customWidth="1"/>
    <col min="3" max="3" width="251.21875" bestFit="1" customWidth="1"/>
  </cols>
  <sheetData>
    <row r="1" spans="1:3" x14ac:dyDescent="0.3">
      <c r="A1" t="s">
        <v>97</v>
      </c>
    </row>
    <row r="2" spans="1:3" x14ac:dyDescent="0.3">
      <c r="A2" t="s">
        <v>98</v>
      </c>
    </row>
    <row r="4" spans="1:3" x14ac:dyDescent="0.3">
      <c r="A4" t="s">
        <v>99</v>
      </c>
    </row>
    <row r="5" spans="1:3" ht="100.8" x14ac:dyDescent="0.3">
      <c r="A5" s="20" t="s">
        <v>101</v>
      </c>
    </row>
    <row r="10" spans="1:3" x14ac:dyDescent="0.3">
      <c r="A10" t="s">
        <v>100</v>
      </c>
    </row>
    <row r="12" spans="1:3" x14ac:dyDescent="0.3">
      <c r="A12" t="s">
        <v>124</v>
      </c>
    </row>
    <row r="13" spans="1:3" x14ac:dyDescent="0.3">
      <c r="C13" s="39" t="s">
        <v>136</v>
      </c>
    </row>
    <row r="14" spans="1:3" x14ac:dyDescent="0.3">
      <c r="A14" s="40" t="s">
        <v>70</v>
      </c>
      <c r="B14" s="43" t="s">
        <v>73</v>
      </c>
    </row>
    <row r="15" spans="1:3" x14ac:dyDescent="0.3">
      <c r="A15" s="41"/>
      <c r="B15" s="43"/>
      <c r="C15" t="s">
        <v>125</v>
      </c>
    </row>
    <row r="16" spans="1:3" x14ac:dyDescent="0.3">
      <c r="A16" s="41"/>
      <c r="B16" s="43"/>
    </row>
    <row r="17" spans="1:3" x14ac:dyDescent="0.3">
      <c r="A17" s="41"/>
      <c r="B17" s="43" t="s">
        <v>43</v>
      </c>
    </row>
    <row r="18" spans="1:3" x14ac:dyDescent="0.3">
      <c r="A18" s="41"/>
      <c r="B18" s="43"/>
      <c r="C18" t="s">
        <v>126</v>
      </c>
    </row>
    <row r="19" spans="1:3" x14ac:dyDescent="0.3">
      <c r="A19" s="42"/>
      <c r="B19" s="43"/>
    </row>
    <row r="20" spans="1:3" x14ac:dyDescent="0.3">
      <c r="A20" s="40" t="s">
        <v>71</v>
      </c>
      <c r="B20" s="56" t="s">
        <v>134</v>
      </c>
    </row>
    <row r="21" spans="1:3" x14ac:dyDescent="0.3">
      <c r="A21" s="41"/>
      <c r="B21" s="56"/>
      <c r="C21" t="s">
        <v>135</v>
      </c>
    </row>
    <row r="22" spans="1:3" x14ac:dyDescent="0.3">
      <c r="A22" s="41"/>
      <c r="B22" s="56"/>
    </row>
    <row r="23" spans="1:3" x14ac:dyDescent="0.3">
      <c r="A23" s="41"/>
      <c r="B23" s="43">
        <v>2050</v>
      </c>
    </row>
    <row r="24" spans="1:3" x14ac:dyDescent="0.3">
      <c r="A24" s="41"/>
      <c r="B24" s="43"/>
      <c r="C24" t="s">
        <v>133</v>
      </c>
    </row>
    <row r="25" spans="1:3" x14ac:dyDescent="0.3">
      <c r="A25" s="42"/>
      <c r="B25" s="43"/>
    </row>
    <row r="26" spans="1:3" x14ac:dyDescent="0.3">
      <c r="A26" s="43" t="s">
        <v>44</v>
      </c>
      <c r="B26" s="43" t="s">
        <v>41</v>
      </c>
    </row>
    <row r="27" spans="1:3" x14ac:dyDescent="0.3">
      <c r="A27" s="43"/>
      <c r="B27" s="43"/>
      <c r="C27" s="20" t="s">
        <v>138</v>
      </c>
    </row>
    <row r="28" spans="1:3" x14ac:dyDescent="0.3">
      <c r="A28" s="43"/>
      <c r="B28" s="43"/>
      <c r="C28" s="20"/>
    </row>
    <row r="29" spans="1:3" x14ac:dyDescent="0.3">
      <c r="A29" s="43"/>
      <c r="B29" s="43" t="s">
        <v>42</v>
      </c>
    </row>
    <row r="30" spans="1:3" x14ac:dyDescent="0.3">
      <c r="A30" s="43"/>
      <c r="B30" s="43"/>
      <c r="C30" s="20" t="s">
        <v>139</v>
      </c>
    </row>
    <row r="31" spans="1:3" x14ac:dyDescent="0.3">
      <c r="A31" s="43"/>
      <c r="B31" s="43"/>
    </row>
    <row r="33" spans="1:2" x14ac:dyDescent="0.3">
      <c r="A33" s="39" t="s">
        <v>128</v>
      </c>
      <c r="B33" s="39" t="s">
        <v>137</v>
      </c>
    </row>
    <row r="35" spans="1:2" x14ac:dyDescent="0.3">
      <c r="A35" s="43" t="s">
        <v>127</v>
      </c>
    </row>
    <row r="36" spans="1:2" x14ac:dyDescent="0.3">
      <c r="A36" s="43"/>
      <c r="B36" t="s">
        <v>36</v>
      </c>
    </row>
    <row r="37" spans="1:2" x14ac:dyDescent="0.3">
      <c r="A37" s="43"/>
    </row>
    <row r="38" spans="1:2" x14ac:dyDescent="0.3">
      <c r="A38" s="43" t="s">
        <v>37</v>
      </c>
    </row>
    <row r="39" spans="1:2" x14ac:dyDescent="0.3">
      <c r="A39" s="43"/>
      <c r="B39" t="s">
        <v>37</v>
      </c>
    </row>
    <row r="40" spans="1:2" x14ac:dyDescent="0.3">
      <c r="A40" s="43"/>
    </row>
    <row r="41" spans="1:2" x14ac:dyDescent="0.3">
      <c r="A41" s="43" t="s">
        <v>38</v>
      </c>
    </row>
    <row r="42" spans="1:2" x14ac:dyDescent="0.3">
      <c r="A42" s="43"/>
      <c r="B42" t="s">
        <v>38</v>
      </c>
    </row>
    <row r="43" spans="1:2" x14ac:dyDescent="0.3">
      <c r="A43" s="43"/>
    </row>
    <row r="44" spans="1:2" x14ac:dyDescent="0.3">
      <c r="A44" s="43" t="s">
        <v>39</v>
      </c>
    </row>
    <row r="45" spans="1:2" x14ac:dyDescent="0.3">
      <c r="A45" s="43"/>
      <c r="B45" t="s">
        <v>39</v>
      </c>
    </row>
    <row r="46" spans="1:2" x14ac:dyDescent="0.3">
      <c r="A46" s="43"/>
    </row>
    <row r="47" spans="1:2" x14ac:dyDescent="0.3">
      <c r="A47" s="43" t="s">
        <v>40</v>
      </c>
    </row>
    <row r="48" spans="1:2" x14ac:dyDescent="0.3">
      <c r="A48" s="43"/>
      <c r="B48" t="s">
        <v>129</v>
      </c>
    </row>
    <row r="49" spans="1:2" x14ac:dyDescent="0.3">
      <c r="A49" s="43"/>
    </row>
    <row r="50" spans="1:2" x14ac:dyDescent="0.3">
      <c r="A50" s="40" t="s">
        <v>70</v>
      </c>
    </row>
    <row r="51" spans="1:2" x14ac:dyDescent="0.3">
      <c r="A51" s="41"/>
    </row>
    <row r="52" spans="1:2" x14ac:dyDescent="0.3">
      <c r="A52" s="41"/>
      <c r="B52" t="s">
        <v>130</v>
      </c>
    </row>
    <row r="53" spans="1:2" x14ac:dyDescent="0.3">
      <c r="A53" s="41"/>
    </row>
    <row r="54" spans="1:2" x14ac:dyDescent="0.3">
      <c r="A54" s="41"/>
    </row>
    <row r="55" spans="1:2" x14ac:dyDescent="0.3">
      <c r="A55" s="42"/>
    </row>
    <row r="56" spans="1:2" x14ac:dyDescent="0.3">
      <c r="A56" s="40" t="s">
        <v>71</v>
      </c>
    </row>
    <row r="57" spans="1:2" x14ac:dyDescent="0.3">
      <c r="A57" s="41"/>
    </row>
    <row r="58" spans="1:2" x14ac:dyDescent="0.3">
      <c r="A58" s="41"/>
      <c r="B58" t="s">
        <v>131</v>
      </c>
    </row>
    <row r="59" spans="1:2" x14ac:dyDescent="0.3">
      <c r="A59" s="41"/>
    </row>
    <row r="60" spans="1:2" x14ac:dyDescent="0.3">
      <c r="A60" s="41"/>
    </row>
    <row r="61" spans="1:2" x14ac:dyDescent="0.3">
      <c r="A61" s="42"/>
    </row>
    <row r="62" spans="1:2" x14ac:dyDescent="0.3">
      <c r="A62" s="40" t="s">
        <v>44</v>
      </c>
    </row>
    <row r="63" spans="1:2" x14ac:dyDescent="0.3">
      <c r="A63" s="41"/>
    </row>
    <row r="64" spans="1:2" x14ac:dyDescent="0.3">
      <c r="A64" s="41"/>
    </row>
    <row r="65" spans="1:2" x14ac:dyDescent="0.3">
      <c r="A65" s="41"/>
      <c r="B65" t="s">
        <v>132</v>
      </c>
    </row>
    <row r="66" spans="1:2" x14ac:dyDescent="0.3">
      <c r="A66" s="41"/>
    </row>
    <row r="67" spans="1:2" x14ac:dyDescent="0.3">
      <c r="A67" s="42"/>
    </row>
  </sheetData>
  <mergeCells count="17">
    <mergeCell ref="A44:A46"/>
    <mergeCell ref="A47:A49"/>
    <mergeCell ref="A50:A55"/>
    <mergeCell ref="A56:A61"/>
    <mergeCell ref="A62:A67"/>
    <mergeCell ref="A41:A43"/>
    <mergeCell ref="A14:A19"/>
    <mergeCell ref="B14:B16"/>
    <mergeCell ref="B17:B19"/>
    <mergeCell ref="A20:A25"/>
    <mergeCell ref="B20:B22"/>
    <mergeCell ref="B23:B25"/>
    <mergeCell ref="A26:A31"/>
    <mergeCell ref="B26:B28"/>
    <mergeCell ref="B29:B31"/>
    <mergeCell ref="A35:A37"/>
    <mergeCell ref="A38:A4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852086843206E4BAD9D3EBF106DD24D" ma:contentTypeVersion="20" ma:contentTypeDescription="Create a new document." ma:contentTypeScope="" ma:versionID="a9a97e63b44ff58574b9e2ab8e320aec">
  <xsd:schema xmlns:xsd="http://www.w3.org/2001/XMLSchema" xmlns:xs="http://www.w3.org/2001/XMLSchema" xmlns:p="http://schemas.microsoft.com/office/2006/metadata/properties" xmlns:ns2="232e48a4-996a-4688-951c-c513fbc1255c" xmlns:ns3="054690b1-a5d8-490b-abb5-be9830757502" targetNamespace="http://schemas.microsoft.com/office/2006/metadata/properties" ma:root="true" ma:fieldsID="459ac7c8f33d9cbb3a29af681caa2e24" ns2:_="" ns3:_="">
    <xsd:import namespace="232e48a4-996a-4688-951c-c513fbc1255c"/>
    <xsd:import namespace="054690b1-a5d8-490b-abb5-be983075750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_Flow_SignoffStatus" minOccurs="0"/>
                <xsd:element ref="ns3:MediaLengthInSeconds" minOccurs="0"/>
                <xsd:element ref="ns3:MediaServiceLocation"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2e48a4-996a-4688-951c-c513fbc1255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25067999-9e1e-4ff5-8b49-1c4583c5fd81}" ma:internalName="TaxCatchAll" ma:showField="CatchAllData" ma:web="232e48a4-996a-4688-951c-c513fbc1255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54690b1-a5d8-490b-abb5-be983075750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_Flow_SignoffStatus" ma:index="19" nillable="true" ma:displayName="Sign-off status" ma:internalName="Sign_x002d_off_x0020_status">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50a49bc4-c9e0-412a-b7e2-852193553bd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32e48a4-996a-4688-951c-c513fbc1255c" xsi:nil="true"/>
    <lcf76f155ced4ddcb4097134ff3c332f xmlns="054690b1-a5d8-490b-abb5-be9830757502">
      <Terms xmlns="http://schemas.microsoft.com/office/infopath/2007/PartnerControls"/>
    </lcf76f155ced4ddcb4097134ff3c332f>
    <_Flow_SignoffStatus xmlns="054690b1-a5d8-490b-abb5-be9830757502" xsi:nil="true"/>
  </documentManagement>
</p:properties>
</file>

<file path=customXml/itemProps1.xml><?xml version="1.0" encoding="utf-8"?>
<ds:datastoreItem xmlns:ds="http://schemas.openxmlformats.org/officeDocument/2006/customXml" ds:itemID="{63CFF838-52F1-4071-B16F-39CE98ED8A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2e48a4-996a-4688-951c-c513fbc1255c"/>
    <ds:schemaRef ds:uri="054690b1-a5d8-490b-abb5-be9830757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5A8345F-B5BB-4013-8234-B3F44FED454D}">
  <ds:schemaRefs>
    <ds:schemaRef ds:uri="http://schemas.microsoft.com/sharepoint/v3/contenttype/forms"/>
  </ds:schemaRefs>
</ds:datastoreItem>
</file>

<file path=customXml/itemProps3.xml><?xml version="1.0" encoding="utf-8"?>
<ds:datastoreItem xmlns:ds="http://schemas.openxmlformats.org/officeDocument/2006/customXml" ds:itemID="{688F3E42-A9A9-4B55-809D-F423D84F64A1}">
  <ds:schemaRefs>
    <ds:schemaRef ds:uri="http://schemas.microsoft.com/office/2006/metadata/properties"/>
    <ds:schemaRef ds:uri="http://schemas.microsoft.com/office/infopath/2007/PartnerControls"/>
    <ds:schemaRef ds:uri="232e48a4-996a-4688-951c-c513fbc1255c"/>
    <ds:schemaRef ds:uri="054690b1-a5d8-490b-abb5-be9830757502"/>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Emission factor</vt:lpstr>
      <vt:lpstr>Car parameters</vt:lpstr>
      <vt:lpstr>Car parameters v2</vt:lpstr>
      <vt:lpstr>Results</vt:lpstr>
      <vt:lpstr>Example of graphs</vt:lpstr>
      <vt:lpstr>Infopages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Boulard Boulard</cp:lastModifiedBy>
  <dcterms:created xsi:type="dcterms:W3CDTF">2025-11-07T14:34:44Z</dcterms:created>
  <dcterms:modified xsi:type="dcterms:W3CDTF">2026-05-21T12:54:33Z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0x0101004852086843206E4BAD9D3EBF106DD24D</vt:lpwstr>
  </property>
</Properties>
</file>